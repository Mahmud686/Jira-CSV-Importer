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31" codeName="{E757BCB4-07E6-AE0B-56E0-F0EEF7A6E26C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ahmudur.rahman\Desktop\New\GIT\"/>
    </mc:Choice>
  </mc:AlternateContent>
  <xr:revisionPtr revIDLastSave="0" documentId="13_ncr:1_{D215185D-2D06-422F-863B-B69331DBFEC6}" xr6:coauthVersionLast="47" xr6:coauthVersionMax="47" xr10:uidLastSave="{00000000-0000-0000-0000-000000000000}"/>
  <bookViews>
    <workbookView xWindow="-108" yWindow="-108" windowWidth="23256" windowHeight="12576" tabRatio="562" activeTab="2" xr2:uid="{00000000-000D-0000-FFFF-FFFF00000000}"/>
  </bookViews>
  <sheets>
    <sheet name="Kalkulation" sheetId="5" r:id="rId1"/>
    <sheet name="ProAlpha Export Data" sheetId="13" state="hidden" r:id="rId2"/>
    <sheet name="Jira Export" sheetId="10" r:id="rId3"/>
    <sheet name="Jira Export Data" sheetId="11" r:id="rId4"/>
  </sheets>
  <definedNames>
    <definedName name="_xlnm._FilterDatabase" localSheetId="2" hidden="1">'Jira Export'!$M$1:$M$197</definedName>
    <definedName name="_xlnm._FilterDatabase" localSheetId="0" hidden="1">Kalkulation!$A$8:$AF$231</definedName>
    <definedName name="_xlnm.Print_Area" localSheetId="0">Kalkulation!$A$1:$AF$254</definedName>
    <definedName name="_xlnm.Print_Titles" localSheetId="0">Kalkulation!$1:$8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2" i="10"/>
  <c r="D4" i="10" s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2" i="10"/>
  <c r="C218" i="5" l="1"/>
  <c r="C195" i="5"/>
  <c r="C172" i="5"/>
  <c r="C149" i="5"/>
  <c r="C115" i="5"/>
  <c r="C81" i="5"/>
  <c r="C58" i="5"/>
  <c r="C9" i="5"/>
  <c r="C35" i="5"/>
  <c r="C197" i="10" l="1"/>
  <c r="C196" i="10"/>
  <c r="C195" i="10"/>
  <c r="C194" i="10"/>
  <c r="C193" i="10"/>
  <c r="J189" i="10"/>
  <c r="J188" i="10"/>
  <c r="K188" i="10" s="1"/>
  <c r="C187" i="10"/>
  <c r="C186" i="10"/>
  <c r="C185" i="10"/>
  <c r="C184" i="10"/>
  <c r="C183" i="10"/>
  <c r="J181" i="10"/>
  <c r="C180" i="10"/>
  <c r="C176" i="10"/>
  <c r="C175" i="10"/>
  <c r="C174" i="10"/>
  <c r="C173" i="10"/>
  <c r="C172" i="10"/>
  <c r="C171" i="10"/>
  <c r="C170" i="10"/>
  <c r="C169" i="10"/>
  <c r="C168" i="10"/>
  <c r="J166" i="10"/>
  <c r="J165" i="10"/>
  <c r="C162" i="10"/>
  <c r="C161" i="10"/>
  <c r="C160" i="10"/>
  <c r="C159" i="10"/>
  <c r="C158" i="10"/>
  <c r="C157" i="10"/>
  <c r="C155" i="10"/>
  <c r="C153" i="10"/>
  <c r="C150" i="10"/>
  <c r="C149" i="10"/>
  <c r="C148" i="10"/>
  <c r="C147" i="10"/>
  <c r="C145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AF240" i="5"/>
  <c r="G240" i="5" s="1"/>
  <c r="F240" i="5"/>
  <c r="A240" i="5"/>
  <c r="AF239" i="5"/>
  <c r="G239" i="5" s="1"/>
  <c r="F239" i="5"/>
  <c r="A239" i="5"/>
  <c r="AF238" i="5"/>
  <c r="G238" i="5" s="1"/>
  <c r="F238" i="5"/>
  <c r="A238" i="5"/>
  <c r="AF237" i="5"/>
  <c r="G237" i="5" s="1"/>
  <c r="F237" i="5"/>
  <c r="A237" i="5"/>
  <c r="AF236" i="5"/>
  <c r="G236" i="5" s="1"/>
  <c r="F236" i="5"/>
  <c r="A236" i="5"/>
  <c r="AF235" i="5"/>
  <c r="F235" i="5"/>
  <c r="A235" i="5"/>
  <c r="A234" i="5"/>
  <c r="AB233" i="5"/>
  <c r="Y233" i="5"/>
  <c r="V233" i="5"/>
  <c r="S233" i="5"/>
  <c r="P233" i="5"/>
  <c r="M233" i="5"/>
  <c r="J233" i="5"/>
  <c r="F233" i="5"/>
  <c r="A233" i="5"/>
  <c r="AB232" i="5"/>
  <c r="Y232" i="5"/>
  <c r="V232" i="5"/>
  <c r="S232" i="5"/>
  <c r="P232" i="5"/>
  <c r="M232" i="5"/>
  <c r="J232" i="5"/>
  <c r="F232" i="5"/>
  <c r="A232" i="5"/>
  <c r="AB231" i="5"/>
  <c r="Y231" i="5"/>
  <c r="V231" i="5"/>
  <c r="S231" i="5"/>
  <c r="P231" i="5"/>
  <c r="M231" i="5"/>
  <c r="J231" i="5"/>
  <c r="F231" i="5"/>
  <c r="A231" i="5"/>
  <c r="AB230" i="5"/>
  <c r="Y230" i="5"/>
  <c r="V230" i="5"/>
  <c r="S230" i="5"/>
  <c r="P230" i="5"/>
  <c r="M230" i="5"/>
  <c r="J230" i="5"/>
  <c r="F230" i="5"/>
  <c r="A230" i="5"/>
  <c r="AB229" i="5"/>
  <c r="Y229" i="5"/>
  <c r="V229" i="5"/>
  <c r="S229" i="5"/>
  <c r="P229" i="5"/>
  <c r="M229" i="5"/>
  <c r="J229" i="5"/>
  <c r="F229" i="5"/>
  <c r="A229" i="5"/>
  <c r="AB228" i="5"/>
  <c r="Y228" i="5"/>
  <c r="V228" i="5"/>
  <c r="S228" i="5"/>
  <c r="P228" i="5"/>
  <c r="M228" i="5"/>
  <c r="J228" i="5"/>
  <c r="F228" i="5"/>
  <c r="A228" i="5"/>
  <c r="AB227" i="5"/>
  <c r="Y227" i="5"/>
  <c r="V227" i="5"/>
  <c r="S227" i="5"/>
  <c r="P227" i="5"/>
  <c r="M227" i="5"/>
  <c r="J227" i="5"/>
  <c r="F227" i="5"/>
  <c r="A227" i="5"/>
  <c r="AB226" i="5"/>
  <c r="Y226" i="5"/>
  <c r="V226" i="5"/>
  <c r="S226" i="5"/>
  <c r="P226" i="5"/>
  <c r="M226" i="5"/>
  <c r="J226" i="5"/>
  <c r="F226" i="5"/>
  <c r="A226" i="5"/>
  <c r="AB225" i="5"/>
  <c r="Y225" i="5"/>
  <c r="V225" i="5"/>
  <c r="S225" i="5"/>
  <c r="P225" i="5"/>
  <c r="M225" i="5"/>
  <c r="J225" i="5"/>
  <c r="F225" i="5"/>
  <c r="A225" i="5"/>
  <c r="AB224" i="5"/>
  <c r="Y224" i="5"/>
  <c r="V224" i="5"/>
  <c r="S224" i="5"/>
  <c r="P224" i="5"/>
  <c r="M224" i="5"/>
  <c r="J224" i="5"/>
  <c r="F224" i="5"/>
  <c r="A224" i="5"/>
  <c r="AB223" i="5"/>
  <c r="Y223" i="5"/>
  <c r="V223" i="5"/>
  <c r="S223" i="5"/>
  <c r="P223" i="5"/>
  <c r="M223" i="5"/>
  <c r="J223" i="5"/>
  <c r="F223" i="5"/>
  <c r="A223" i="5"/>
  <c r="AB222" i="5"/>
  <c r="Y222" i="5"/>
  <c r="V222" i="5"/>
  <c r="S222" i="5"/>
  <c r="P222" i="5"/>
  <c r="M222" i="5"/>
  <c r="J222" i="5"/>
  <c r="F222" i="5"/>
  <c r="A222" i="5"/>
  <c r="AB221" i="5"/>
  <c r="Y221" i="5"/>
  <c r="V221" i="5"/>
  <c r="S221" i="5"/>
  <c r="P221" i="5"/>
  <c r="M221" i="5"/>
  <c r="J221" i="5"/>
  <c r="F221" i="5"/>
  <c r="A221" i="5"/>
  <c r="AB220" i="5"/>
  <c r="Y220" i="5"/>
  <c r="V220" i="5"/>
  <c r="S220" i="5"/>
  <c r="P220" i="5"/>
  <c r="M220" i="5"/>
  <c r="J220" i="5"/>
  <c r="F220" i="5"/>
  <c r="A220" i="5"/>
  <c r="AA219" i="5"/>
  <c r="X219" i="5"/>
  <c r="U219" i="5"/>
  <c r="R219" i="5"/>
  <c r="O219" i="5"/>
  <c r="L219" i="5"/>
  <c r="I219" i="5"/>
  <c r="A219" i="5"/>
  <c r="AA218" i="5"/>
  <c r="X218" i="5"/>
  <c r="U218" i="5"/>
  <c r="R218" i="5"/>
  <c r="O218" i="5"/>
  <c r="L218" i="5"/>
  <c r="I218" i="5"/>
  <c r="AF217" i="5"/>
  <c r="G217" i="5" s="1"/>
  <c r="F217" i="5"/>
  <c r="A217" i="5"/>
  <c r="AF216" i="5"/>
  <c r="G216" i="5" s="1"/>
  <c r="F216" i="5"/>
  <c r="A216" i="5"/>
  <c r="AF215" i="5"/>
  <c r="G215" i="5" s="1"/>
  <c r="F215" i="5"/>
  <c r="A215" i="5"/>
  <c r="AF214" i="5"/>
  <c r="G214" i="5" s="1"/>
  <c r="F214" i="5"/>
  <c r="A214" i="5"/>
  <c r="AF213" i="5"/>
  <c r="G213" i="5" s="1"/>
  <c r="F213" i="5"/>
  <c r="A213" i="5"/>
  <c r="AF212" i="5"/>
  <c r="G212" i="5" s="1"/>
  <c r="F212" i="5"/>
  <c r="A212" i="5"/>
  <c r="A211" i="5"/>
  <c r="AB210" i="5"/>
  <c r="Y210" i="5"/>
  <c r="V210" i="5"/>
  <c r="S210" i="5"/>
  <c r="P210" i="5"/>
  <c r="M210" i="5"/>
  <c r="J210" i="5"/>
  <c r="F210" i="5"/>
  <c r="A210" i="5"/>
  <c r="AB209" i="5"/>
  <c r="Y209" i="5"/>
  <c r="V209" i="5"/>
  <c r="S209" i="5"/>
  <c r="P209" i="5"/>
  <c r="M209" i="5"/>
  <c r="J209" i="5"/>
  <c r="F209" i="5"/>
  <c r="A209" i="5"/>
  <c r="AB208" i="5"/>
  <c r="Y208" i="5"/>
  <c r="V208" i="5"/>
  <c r="S208" i="5"/>
  <c r="P208" i="5"/>
  <c r="M208" i="5"/>
  <c r="J208" i="5"/>
  <c r="F208" i="5"/>
  <c r="A208" i="5"/>
  <c r="AB207" i="5"/>
  <c r="Y207" i="5"/>
  <c r="V207" i="5"/>
  <c r="S207" i="5"/>
  <c r="P207" i="5"/>
  <c r="M207" i="5"/>
  <c r="J207" i="5"/>
  <c r="F207" i="5"/>
  <c r="A207" i="5"/>
  <c r="AB206" i="5"/>
  <c r="Y206" i="5"/>
  <c r="V206" i="5"/>
  <c r="S206" i="5"/>
  <c r="P206" i="5"/>
  <c r="M206" i="5"/>
  <c r="J206" i="5"/>
  <c r="F206" i="5"/>
  <c r="A206" i="5"/>
  <c r="AB205" i="5"/>
  <c r="Y205" i="5"/>
  <c r="V205" i="5"/>
  <c r="S205" i="5"/>
  <c r="P205" i="5"/>
  <c r="M205" i="5"/>
  <c r="J205" i="5"/>
  <c r="F205" i="5"/>
  <c r="A205" i="5"/>
  <c r="AB204" i="5"/>
  <c r="Y204" i="5"/>
  <c r="V204" i="5"/>
  <c r="S204" i="5"/>
  <c r="P204" i="5"/>
  <c r="M204" i="5"/>
  <c r="J204" i="5"/>
  <c r="F204" i="5"/>
  <c r="J197" i="10" s="1"/>
  <c r="A204" i="5"/>
  <c r="AB203" i="5"/>
  <c r="Y203" i="5"/>
  <c r="V203" i="5"/>
  <c r="S203" i="5"/>
  <c r="P203" i="5"/>
  <c r="M203" i="5"/>
  <c r="J203" i="5"/>
  <c r="F203" i="5"/>
  <c r="A203" i="5"/>
  <c r="AB202" i="5"/>
  <c r="Y202" i="5"/>
  <c r="V202" i="5"/>
  <c r="S202" i="5"/>
  <c r="P202" i="5"/>
  <c r="M202" i="5"/>
  <c r="J202" i="5"/>
  <c r="F202" i="5"/>
  <c r="A202" i="5"/>
  <c r="AB201" i="5"/>
  <c r="Y201" i="5"/>
  <c r="V201" i="5"/>
  <c r="S201" i="5"/>
  <c r="P201" i="5"/>
  <c r="M201" i="5"/>
  <c r="J201" i="5"/>
  <c r="F201" i="5"/>
  <c r="A201" i="5"/>
  <c r="AB200" i="5"/>
  <c r="Y200" i="5"/>
  <c r="V200" i="5"/>
  <c r="S200" i="5"/>
  <c r="P200" i="5"/>
  <c r="M200" i="5"/>
  <c r="J200" i="5"/>
  <c r="F200" i="5"/>
  <c r="A200" i="5"/>
  <c r="AB199" i="5"/>
  <c r="Y199" i="5"/>
  <c r="V199" i="5"/>
  <c r="S199" i="5"/>
  <c r="P199" i="5"/>
  <c r="M199" i="5"/>
  <c r="J199" i="5"/>
  <c r="F199" i="5"/>
  <c r="A199" i="5"/>
  <c r="AB198" i="5"/>
  <c r="Y198" i="5"/>
  <c r="V198" i="5"/>
  <c r="S198" i="5"/>
  <c r="P198" i="5"/>
  <c r="M198" i="5"/>
  <c r="J198" i="5"/>
  <c r="F198" i="5"/>
  <c r="A198" i="5"/>
  <c r="AB197" i="5"/>
  <c r="Y197" i="5"/>
  <c r="V197" i="5"/>
  <c r="S197" i="5"/>
  <c r="P197" i="5"/>
  <c r="M197" i="5"/>
  <c r="J197" i="5"/>
  <c r="F197" i="5"/>
  <c r="A197" i="5"/>
  <c r="AA196" i="5"/>
  <c r="X196" i="5"/>
  <c r="U196" i="5"/>
  <c r="R196" i="5"/>
  <c r="O196" i="5"/>
  <c r="L196" i="5"/>
  <c r="I196" i="5"/>
  <c r="A196" i="5"/>
  <c r="AA195" i="5"/>
  <c r="X195" i="5"/>
  <c r="U195" i="5"/>
  <c r="R195" i="5"/>
  <c r="O195" i="5"/>
  <c r="L195" i="5"/>
  <c r="I195" i="5"/>
  <c r="AF194" i="5"/>
  <c r="G194" i="5" s="1"/>
  <c r="F194" i="5"/>
  <c r="A194" i="5"/>
  <c r="AF193" i="5"/>
  <c r="G193" i="5" s="1"/>
  <c r="F193" i="5"/>
  <c r="A193" i="5"/>
  <c r="AF192" i="5"/>
  <c r="G192" i="5" s="1"/>
  <c r="F192" i="5"/>
  <c r="A192" i="5"/>
  <c r="AF191" i="5"/>
  <c r="G191" i="5" s="1"/>
  <c r="F191" i="5"/>
  <c r="A191" i="5"/>
  <c r="AF190" i="5"/>
  <c r="G190" i="5" s="1"/>
  <c r="F190" i="5"/>
  <c r="A190" i="5"/>
  <c r="AF189" i="5"/>
  <c r="G189" i="5" s="1"/>
  <c r="F189" i="5"/>
  <c r="A189" i="5"/>
  <c r="A188" i="5"/>
  <c r="AB187" i="5"/>
  <c r="Y187" i="5"/>
  <c r="V187" i="5"/>
  <c r="S187" i="5"/>
  <c r="P187" i="5"/>
  <c r="M187" i="5"/>
  <c r="J187" i="5"/>
  <c r="F187" i="5"/>
  <c r="A187" i="5"/>
  <c r="AB186" i="5"/>
  <c r="Y186" i="5"/>
  <c r="V186" i="5"/>
  <c r="S186" i="5"/>
  <c r="P186" i="5"/>
  <c r="M186" i="5"/>
  <c r="J186" i="5"/>
  <c r="F186" i="5"/>
  <c r="A186" i="5"/>
  <c r="AB185" i="5"/>
  <c r="Y185" i="5"/>
  <c r="V185" i="5"/>
  <c r="S185" i="5"/>
  <c r="P185" i="5"/>
  <c r="M185" i="5"/>
  <c r="J185" i="5"/>
  <c r="F185" i="5"/>
  <c r="A185" i="5"/>
  <c r="AB184" i="5"/>
  <c r="Y184" i="5"/>
  <c r="V184" i="5"/>
  <c r="S184" i="5"/>
  <c r="P184" i="5"/>
  <c r="M184" i="5"/>
  <c r="J184" i="5"/>
  <c r="F184" i="5"/>
  <c r="A184" i="5"/>
  <c r="AB183" i="5"/>
  <c r="Y183" i="5"/>
  <c r="V183" i="5"/>
  <c r="S183" i="5"/>
  <c r="P183" i="5"/>
  <c r="M183" i="5"/>
  <c r="J183" i="5"/>
  <c r="F183" i="5"/>
  <c r="A183" i="5"/>
  <c r="AB182" i="5"/>
  <c r="Y182" i="5"/>
  <c r="V182" i="5"/>
  <c r="S182" i="5"/>
  <c r="P182" i="5"/>
  <c r="M182" i="5"/>
  <c r="J182" i="5"/>
  <c r="F182" i="5"/>
  <c r="A182" i="5"/>
  <c r="AB181" i="5"/>
  <c r="Y181" i="5"/>
  <c r="V181" i="5"/>
  <c r="S181" i="5"/>
  <c r="P181" i="5"/>
  <c r="M181" i="5"/>
  <c r="J181" i="5"/>
  <c r="F181" i="5"/>
  <c r="A181" i="5"/>
  <c r="AB180" i="5"/>
  <c r="Y180" i="5"/>
  <c r="V180" i="5"/>
  <c r="S180" i="5"/>
  <c r="P180" i="5"/>
  <c r="M180" i="5"/>
  <c r="J180" i="5"/>
  <c r="F180" i="5"/>
  <c r="A180" i="5"/>
  <c r="AB179" i="5"/>
  <c r="Y179" i="5"/>
  <c r="V179" i="5"/>
  <c r="S179" i="5"/>
  <c r="P179" i="5"/>
  <c r="M179" i="5"/>
  <c r="J179" i="5"/>
  <c r="F179" i="5"/>
  <c r="A179" i="5"/>
  <c r="AB178" i="5"/>
  <c r="Y178" i="5"/>
  <c r="V178" i="5"/>
  <c r="S178" i="5"/>
  <c r="P178" i="5"/>
  <c r="M178" i="5"/>
  <c r="J178" i="5"/>
  <c r="F178" i="5"/>
  <c r="A178" i="5"/>
  <c r="AB177" i="5"/>
  <c r="Y177" i="5"/>
  <c r="V177" i="5"/>
  <c r="S177" i="5"/>
  <c r="P177" i="5"/>
  <c r="M177" i="5"/>
  <c r="J177" i="5"/>
  <c r="F177" i="5"/>
  <c r="A177" i="5"/>
  <c r="AB176" i="5"/>
  <c r="Y176" i="5"/>
  <c r="V176" i="5"/>
  <c r="S176" i="5"/>
  <c r="P176" i="5"/>
  <c r="M176" i="5"/>
  <c r="J176" i="5"/>
  <c r="F176" i="5"/>
  <c r="A176" i="5"/>
  <c r="AB175" i="5"/>
  <c r="Y175" i="5"/>
  <c r="V175" i="5"/>
  <c r="S175" i="5"/>
  <c r="P175" i="5"/>
  <c r="M175" i="5"/>
  <c r="J175" i="5"/>
  <c r="F175" i="5"/>
  <c r="A175" i="5"/>
  <c r="AB174" i="5"/>
  <c r="Y174" i="5"/>
  <c r="V174" i="5"/>
  <c r="S174" i="5"/>
  <c r="P174" i="5"/>
  <c r="M174" i="5"/>
  <c r="J174" i="5"/>
  <c r="F174" i="5"/>
  <c r="A174" i="5"/>
  <c r="AA173" i="5"/>
  <c r="X173" i="5"/>
  <c r="U173" i="5"/>
  <c r="R173" i="5"/>
  <c r="O173" i="5"/>
  <c r="L173" i="5"/>
  <c r="I173" i="5"/>
  <c r="A173" i="5"/>
  <c r="AA172" i="5"/>
  <c r="X172" i="5"/>
  <c r="U172" i="5"/>
  <c r="R172" i="5"/>
  <c r="O172" i="5"/>
  <c r="L172" i="5"/>
  <c r="I172" i="5"/>
  <c r="AF171" i="5"/>
  <c r="G171" i="5" s="1"/>
  <c r="F171" i="5"/>
  <c r="A171" i="5"/>
  <c r="AF170" i="5"/>
  <c r="G170" i="5" s="1"/>
  <c r="F170" i="5"/>
  <c r="A170" i="5"/>
  <c r="AF169" i="5"/>
  <c r="G169" i="5" s="1"/>
  <c r="F169" i="5"/>
  <c r="A169" i="5"/>
  <c r="AF168" i="5"/>
  <c r="G168" i="5" s="1"/>
  <c r="F168" i="5"/>
  <c r="A168" i="5"/>
  <c r="AF167" i="5"/>
  <c r="G167" i="5" s="1"/>
  <c r="F167" i="5"/>
  <c r="A167" i="5"/>
  <c r="AF166" i="5"/>
  <c r="G166" i="5" s="1"/>
  <c r="F166" i="5"/>
  <c r="A166" i="5"/>
  <c r="A165" i="5"/>
  <c r="AB164" i="5"/>
  <c r="Y164" i="5"/>
  <c r="V164" i="5"/>
  <c r="S164" i="5"/>
  <c r="P164" i="5"/>
  <c r="M164" i="5"/>
  <c r="J164" i="5"/>
  <c r="F164" i="5"/>
  <c r="A164" i="5"/>
  <c r="AB163" i="5"/>
  <c r="Y163" i="5"/>
  <c r="V163" i="5"/>
  <c r="S163" i="5"/>
  <c r="P163" i="5"/>
  <c r="M163" i="5"/>
  <c r="J163" i="5"/>
  <c r="F163" i="5"/>
  <c r="A163" i="5"/>
  <c r="AB162" i="5"/>
  <c r="Y162" i="5"/>
  <c r="V162" i="5"/>
  <c r="S162" i="5"/>
  <c r="P162" i="5"/>
  <c r="M162" i="5"/>
  <c r="J162" i="5"/>
  <c r="F162" i="5"/>
  <c r="A162" i="5"/>
  <c r="AB161" i="5"/>
  <c r="Y161" i="5"/>
  <c r="V161" i="5"/>
  <c r="S161" i="5"/>
  <c r="P161" i="5"/>
  <c r="M161" i="5"/>
  <c r="J161" i="5"/>
  <c r="F161" i="5"/>
  <c r="A161" i="5"/>
  <c r="AB160" i="5"/>
  <c r="Y160" i="5"/>
  <c r="V160" i="5"/>
  <c r="S160" i="5"/>
  <c r="P160" i="5"/>
  <c r="M160" i="5"/>
  <c r="J160" i="5"/>
  <c r="F160" i="5"/>
  <c r="A160" i="5"/>
  <c r="AB159" i="5"/>
  <c r="Y159" i="5"/>
  <c r="V159" i="5"/>
  <c r="S159" i="5"/>
  <c r="P159" i="5"/>
  <c r="M159" i="5"/>
  <c r="J159" i="5"/>
  <c r="F159" i="5"/>
  <c r="A159" i="5"/>
  <c r="AB158" i="5"/>
  <c r="Y158" i="5"/>
  <c r="V158" i="5"/>
  <c r="S158" i="5"/>
  <c r="P158" i="5"/>
  <c r="M158" i="5"/>
  <c r="J158" i="5"/>
  <c r="F158" i="5"/>
  <c r="A158" i="5"/>
  <c r="AB157" i="5"/>
  <c r="Y157" i="5"/>
  <c r="V157" i="5"/>
  <c r="S157" i="5"/>
  <c r="P157" i="5"/>
  <c r="M157" i="5"/>
  <c r="J157" i="5"/>
  <c r="F157" i="5"/>
  <c r="A157" i="5"/>
  <c r="AB156" i="5"/>
  <c r="Y156" i="5"/>
  <c r="V156" i="5"/>
  <c r="S156" i="5"/>
  <c r="P156" i="5"/>
  <c r="M156" i="5"/>
  <c r="J156" i="5"/>
  <c r="F156" i="5"/>
  <c r="A156" i="5"/>
  <c r="AB155" i="5"/>
  <c r="Y155" i="5"/>
  <c r="V155" i="5"/>
  <c r="S155" i="5"/>
  <c r="P155" i="5"/>
  <c r="M155" i="5"/>
  <c r="J155" i="5"/>
  <c r="F155" i="5"/>
  <c r="A155" i="5"/>
  <c r="AB154" i="5"/>
  <c r="Y154" i="5"/>
  <c r="V154" i="5"/>
  <c r="S154" i="5"/>
  <c r="P154" i="5"/>
  <c r="M154" i="5"/>
  <c r="J154" i="5"/>
  <c r="F154" i="5"/>
  <c r="A154" i="5"/>
  <c r="AB153" i="5"/>
  <c r="Y153" i="5"/>
  <c r="V153" i="5"/>
  <c r="S153" i="5"/>
  <c r="P153" i="5"/>
  <c r="M153" i="5"/>
  <c r="J153" i="5"/>
  <c r="F153" i="5"/>
  <c r="A153" i="5"/>
  <c r="AB152" i="5"/>
  <c r="Y152" i="5"/>
  <c r="V152" i="5"/>
  <c r="S152" i="5"/>
  <c r="P152" i="5"/>
  <c r="M152" i="5"/>
  <c r="J152" i="5"/>
  <c r="F152" i="5"/>
  <c r="A152" i="5"/>
  <c r="AB151" i="5"/>
  <c r="Y151" i="5"/>
  <c r="V151" i="5"/>
  <c r="S151" i="5"/>
  <c r="P151" i="5"/>
  <c r="M151" i="5"/>
  <c r="J151" i="5"/>
  <c r="F151" i="5"/>
  <c r="A151" i="5"/>
  <c r="AA150" i="5"/>
  <c r="X150" i="5"/>
  <c r="U150" i="5"/>
  <c r="R150" i="5"/>
  <c r="O150" i="5"/>
  <c r="L150" i="5"/>
  <c r="I150" i="5"/>
  <c r="A150" i="5"/>
  <c r="AA149" i="5"/>
  <c r="X149" i="5"/>
  <c r="U149" i="5"/>
  <c r="R149" i="5"/>
  <c r="O149" i="5"/>
  <c r="L149" i="5"/>
  <c r="I149" i="5"/>
  <c r="AF148" i="5"/>
  <c r="G148" i="5" s="1"/>
  <c r="F148" i="5"/>
  <c r="A148" i="5"/>
  <c r="AF147" i="5"/>
  <c r="G147" i="5" s="1"/>
  <c r="F147" i="5"/>
  <c r="A147" i="5"/>
  <c r="AF146" i="5"/>
  <c r="G146" i="5" s="1"/>
  <c r="F146" i="5"/>
  <c r="A146" i="5"/>
  <c r="AF145" i="5"/>
  <c r="G145" i="5" s="1"/>
  <c r="F145" i="5"/>
  <c r="A145" i="5"/>
  <c r="AF144" i="5"/>
  <c r="G144" i="5" s="1"/>
  <c r="F144" i="5"/>
  <c r="A144" i="5"/>
  <c r="AF143" i="5"/>
  <c r="F143" i="5"/>
  <c r="A143" i="5"/>
  <c r="A142" i="5"/>
  <c r="AB141" i="5"/>
  <c r="Y141" i="5"/>
  <c r="V141" i="5"/>
  <c r="S141" i="5"/>
  <c r="P141" i="5"/>
  <c r="M141" i="5"/>
  <c r="J141" i="5"/>
  <c r="F141" i="5"/>
  <c r="AB140" i="5"/>
  <c r="Y140" i="5"/>
  <c r="V140" i="5"/>
  <c r="S140" i="5"/>
  <c r="P140" i="5"/>
  <c r="M140" i="5"/>
  <c r="J140" i="5"/>
  <c r="F140" i="5"/>
  <c r="AB139" i="5"/>
  <c r="Y139" i="5"/>
  <c r="V139" i="5"/>
  <c r="S139" i="5"/>
  <c r="P139" i="5"/>
  <c r="M139" i="5"/>
  <c r="J139" i="5"/>
  <c r="F139" i="5"/>
  <c r="AB138" i="5"/>
  <c r="Y138" i="5"/>
  <c r="V138" i="5"/>
  <c r="S138" i="5"/>
  <c r="P138" i="5"/>
  <c r="M138" i="5"/>
  <c r="J138" i="5"/>
  <c r="F138" i="5"/>
  <c r="AB137" i="5"/>
  <c r="Y137" i="5"/>
  <c r="V137" i="5"/>
  <c r="S137" i="5"/>
  <c r="P137" i="5"/>
  <c r="M137" i="5"/>
  <c r="J137" i="5"/>
  <c r="F137" i="5"/>
  <c r="AB136" i="5"/>
  <c r="Y136" i="5"/>
  <c r="V136" i="5"/>
  <c r="S136" i="5"/>
  <c r="P136" i="5"/>
  <c r="M136" i="5"/>
  <c r="J136" i="5"/>
  <c r="F136" i="5"/>
  <c r="AB135" i="5"/>
  <c r="Y135" i="5"/>
  <c r="V135" i="5"/>
  <c r="S135" i="5"/>
  <c r="P135" i="5"/>
  <c r="M135" i="5"/>
  <c r="J135" i="5"/>
  <c r="F135" i="5"/>
  <c r="AB134" i="5"/>
  <c r="Y134" i="5"/>
  <c r="V134" i="5"/>
  <c r="S134" i="5"/>
  <c r="P134" i="5"/>
  <c r="M134" i="5"/>
  <c r="J134" i="5"/>
  <c r="F134" i="5"/>
  <c r="AB133" i="5"/>
  <c r="Y133" i="5"/>
  <c r="V133" i="5"/>
  <c r="S133" i="5"/>
  <c r="P133" i="5"/>
  <c r="M133" i="5"/>
  <c r="J133" i="5"/>
  <c r="F133" i="5"/>
  <c r="AB132" i="5"/>
  <c r="Y132" i="5"/>
  <c r="V132" i="5"/>
  <c r="S132" i="5"/>
  <c r="P132" i="5"/>
  <c r="M132" i="5"/>
  <c r="J132" i="5"/>
  <c r="F132" i="5"/>
  <c r="AB131" i="5"/>
  <c r="Y131" i="5"/>
  <c r="V131" i="5"/>
  <c r="S131" i="5"/>
  <c r="P131" i="5"/>
  <c r="M131" i="5"/>
  <c r="J131" i="5"/>
  <c r="F131" i="5"/>
  <c r="AB130" i="5"/>
  <c r="Y130" i="5"/>
  <c r="V130" i="5"/>
  <c r="S130" i="5"/>
  <c r="P130" i="5"/>
  <c r="M130" i="5"/>
  <c r="J130" i="5"/>
  <c r="F130" i="5"/>
  <c r="AB129" i="5"/>
  <c r="Y129" i="5"/>
  <c r="V129" i="5"/>
  <c r="S129" i="5"/>
  <c r="P129" i="5"/>
  <c r="M129" i="5"/>
  <c r="J129" i="5"/>
  <c r="F129" i="5"/>
  <c r="AB128" i="5"/>
  <c r="Y128" i="5"/>
  <c r="V128" i="5"/>
  <c r="S128" i="5"/>
  <c r="P128" i="5"/>
  <c r="M128" i="5"/>
  <c r="J128" i="5"/>
  <c r="F128" i="5"/>
  <c r="AB127" i="5"/>
  <c r="Y127" i="5"/>
  <c r="V127" i="5"/>
  <c r="S127" i="5"/>
  <c r="P127" i="5"/>
  <c r="M127" i="5"/>
  <c r="J127" i="5"/>
  <c r="F127" i="5"/>
  <c r="AB126" i="5"/>
  <c r="Y126" i="5"/>
  <c r="V126" i="5"/>
  <c r="S126" i="5"/>
  <c r="P126" i="5"/>
  <c r="M126" i="5"/>
  <c r="J126" i="5"/>
  <c r="F126" i="5"/>
  <c r="AB125" i="5"/>
  <c r="Y125" i="5"/>
  <c r="V125" i="5"/>
  <c r="S125" i="5"/>
  <c r="P125" i="5"/>
  <c r="M125" i="5"/>
  <c r="J125" i="5"/>
  <c r="F125" i="5"/>
  <c r="AB124" i="5"/>
  <c r="Y124" i="5"/>
  <c r="V124" i="5"/>
  <c r="S124" i="5"/>
  <c r="P124" i="5"/>
  <c r="M124" i="5"/>
  <c r="J124" i="5"/>
  <c r="F124" i="5"/>
  <c r="AB123" i="5"/>
  <c r="Y123" i="5"/>
  <c r="V123" i="5"/>
  <c r="S123" i="5"/>
  <c r="P123" i="5"/>
  <c r="M123" i="5"/>
  <c r="J123" i="5"/>
  <c r="F123" i="5"/>
  <c r="AB122" i="5"/>
  <c r="Y122" i="5"/>
  <c r="V122" i="5"/>
  <c r="S122" i="5"/>
  <c r="P122" i="5"/>
  <c r="M122" i="5"/>
  <c r="J122" i="5"/>
  <c r="F122" i="5"/>
  <c r="AB121" i="5"/>
  <c r="Y121" i="5"/>
  <c r="V121" i="5"/>
  <c r="S121" i="5"/>
  <c r="P121" i="5"/>
  <c r="M121" i="5"/>
  <c r="J121" i="5"/>
  <c r="F121" i="5"/>
  <c r="AB120" i="5"/>
  <c r="Y120" i="5"/>
  <c r="V120" i="5"/>
  <c r="S120" i="5"/>
  <c r="P120" i="5"/>
  <c r="M120" i="5"/>
  <c r="J120" i="5"/>
  <c r="F120" i="5"/>
  <c r="AB119" i="5"/>
  <c r="Y119" i="5"/>
  <c r="V119" i="5"/>
  <c r="S119" i="5"/>
  <c r="P119" i="5"/>
  <c r="M119" i="5"/>
  <c r="J119" i="5"/>
  <c r="F119" i="5"/>
  <c r="AB118" i="5"/>
  <c r="Y118" i="5"/>
  <c r="V118" i="5"/>
  <c r="S118" i="5"/>
  <c r="P118" i="5"/>
  <c r="M118" i="5"/>
  <c r="J118" i="5"/>
  <c r="F118" i="5"/>
  <c r="A118" i="5"/>
  <c r="A121" i="5" s="1"/>
  <c r="AB117" i="5"/>
  <c r="Y117" i="5"/>
  <c r="V117" i="5"/>
  <c r="S117" i="5"/>
  <c r="P117" i="5"/>
  <c r="M117" i="5"/>
  <c r="J117" i="5"/>
  <c r="F117" i="5"/>
  <c r="A117" i="5"/>
  <c r="A120" i="5" s="1"/>
  <c r="A123" i="5" s="1"/>
  <c r="A125" i="5" s="1"/>
  <c r="A127" i="5" s="1"/>
  <c r="A129" i="5" s="1"/>
  <c r="A131" i="5" s="1"/>
  <c r="A133" i="5" s="1"/>
  <c r="A135" i="5" s="1"/>
  <c r="A137" i="5" s="1"/>
  <c r="A139" i="5" s="1"/>
  <c r="A141" i="5" s="1"/>
  <c r="AA116" i="5"/>
  <c r="X116" i="5"/>
  <c r="U116" i="5"/>
  <c r="R116" i="5"/>
  <c r="O116" i="5"/>
  <c r="L116" i="5"/>
  <c r="I116" i="5"/>
  <c r="A116" i="5"/>
  <c r="A119" i="5" s="1"/>
  <c r="A122" i="5" s="1"/>
  <c r="A124" i="5" s="1"/>
  <c r="A126" i="5" s="1"/>
  <c r="A128" i="5" s="1"/>
  <c r="A130" i="5" s="1"/>
  <c r="A132" i="5" s="1"/>
  <c r="A134" i="5" s="1"/>
  <c r="A136" i="5" s="1"/>
  <c r="A138" i="5" s="1"/>
  <c r="A140" i="5" s="1"/>
  <c r="AA115" i="5"/>
  <c r="X115" i="5"/>
  <c r="U115" i="5"/>
  <c r="R115" i="5"/>
  <c r="O115" i="5"/>
  <c r="L115" i="5"/>
  <c r="I115" i="5"/>
  <c r="AF114" i="5"/>
  <c r="G114" i="5" s="1"/>
  <c r="F114" i="5"/>
  <c r="A114" i="5"/>
  <c r="AF113" i="5"/>
  <c r="G113" i="5" s="1"/>
  <c r="F113" i="5"/>
  <c r="A113" i="5"/>
  <c r="AF112" i="5"/>
  <c r="G112" i="5" s="1"/>
  <c r="F112" i="5"/>
  <c r="A112" i="5"/>
  <c r="AF111" i="5"/>
  <c r="G111" i="5" s="1"/>
  <c r="F111" i="5"/>
  <c r="A111" i="5"/>
  <c r="AF110" i="5"/>
  <c r="G110" i="5" s="1"/>
  <c r="F110" i="5"/>
  <c r="A110" i="5"/>
  <c r="AF109" i="5"/>
  <c r="G109" i="5" s="1"/>
  <c r="F109" i="5"/>
  <c r="A109" i="5"/>
  <c r="A108" i="5"/>
  <c r="AB107" i="5"/>
  <c r="Y107" i="5"/>
  <c r="V107" i="5"/>
  <c r="S107" i="5"/>
  <c r="P107" i="5"/>
  <c r="M107" i="5"/>
  <c r="J107" i="5"/>
  <c r="F107" i="5"/>
  <c r="AB106" i="5"/>
  <c r="Y106" i="5"/>
  <c r="V106" i="5"/>
  <c r="S106" i="5"/>
  <c r="P106" i="5"/>
  <c r="M106" i="5"/>
  <c r="J106" i="5"/>
  <c r="F106" i="5"/>
  <c r="AB105" i="5"/>
  <c r="Y105" i="5"/>
  <c r="V105" i="5"/>
  <c r="S105" i="5"/>
  <c r="P105" i="5"/>
  <c r="M105" i="5"/>
  <c r="J105" i="5"/>
  <c r="F105" i="5"/>
  <c r="AB104" i="5"/>
  <c r="Y104" i="5"/>
  <c r="V104" i="5"/>
  <c r="S104" i="5"/>
  <c r="P104" i="5"/>
  <c r="M104" i="5"/>
  <c r="J104" i="5"/>
  <c r="F104" i="5"/>
  <c r="AB103" i="5"/>
  <c r="Y103" i="5"/>
  <c r="V103" i="5"/>
  <c r="S103" i="5"/>
  <c r="P103" i="5"/>
  <c r="M103" i="5"/>
  <c r="J103" i="5"/>
  <c r="F103" i="5"/>
  <c r="AB102" i="5"/>
  <c r="Y102" i="5"/>
  <c r="V102" i="5"/>
  <c r="S102" i="5"/>
  <c r="P102" i="5"/>
  <c r="M102" i="5"/>
  <c r="J102" i="5"/>
  <c r="F102" i="5"/>
  <c r="AB101" i="5"/>
  <c r="Y101" i="5"/>
  <c r="V101" i="5"/>
  <c r="S101" i="5"/>
  <c r="P101" i="5"/>
  <c r="M101" i="5"/>
  <c r="J101" i="5"/>
  <c r="F101" i="5"/>
  <c r="AB100" i="5"/>
  <c r="Y100" i="5"/>
  <c r="V100" i="5"/>
  <c r="S100" i="5"/>
  <c r="P100" i="5"/>
  <c r="M100" i="5"/>
  <c r="J100" i="5"/>
  <c r="F100" i="5"/>
  <c r="AB99" i="5"/>
  <c r="Y99" i="5"/>
  <c r="V99" i="5"/>
  <c r="S99" i="5"/>
  <c r="P99" i="5"/>
  <c r="M99" i="5"/>
  <c r="J99" i="5"/>
  <c r="F99" i="5"/>
  <c r="AB98" i="5"/>
  <c r="Y98" i="5"/>
  <c r="V98" i="5"/>
  <c r="S98" i="5"/>
  <c r="P98" i="5"/>
  <c r="M98" i="5"/>
  <c r="J98" i="5"/>
  <c r="F98" i="5"/>
  <c r="AB97" i="5"/>
  <c r="Y97" i="5"/>
  <c r="V97" i="5"/>
  <c r="S97" i="5"/>
  <c r="P97" i="5"/>
  <c r="M97" i="5"/>
  <c r="J97" i="5"/>
  <c r="F97" i="5"/>
  <c r="AB96" i="5"/>
  <c r="Y96" i="5"/>
  <c r="V96" i="5"/>
  <c r="S96" i="5"/>
  <c r="P96" i="5"/>
  <c r="M96" i="5"/>
  <c r="J96" i="5"/>
  <c r="F96" i="5"/>
  <c r="AB95" i="5"/>
  <c r="Y95" i="5"/>
  <c r="V95" i="5"/>
  <c r="S95" i="5"/>
  <c r="P95" i="5"/>
  <c r="M95" i="5"/>
  <c r="J95" i="5"/>
  <c r="F95" i="5"/>
  <c r="AB94" i="5"/>
  <c r="Y94" i="5"/>
  <c r="V94" i="5"/>
  <c r="S94" i="5"/>
  <c r="P94" i="5"/>
  <c r="M94" i="5"/>
  <c r="J94" i="5"/>
  <c r="F94" i="5"/>
  <c r="AB93" i="5"/>
  <c r="Y93" i="5"/>
  <c r="V93" i="5"/>
  <c r="S93" i="5"/>
  <c r="P93" i="5"/>
  <c r="M93" i="5"/>
  <c r="J93" i="5"/>
  <c r="F93" i="5"/>
  <c r="AB92" i="5"/>
  <c r="Y92" i="5"/>
  <c r="V92" i="5"/>
  <c r="S92" i="5"/>
  <c r="P92" i="5"/>
  <c r="M92" i="5"/>
  <c r="J92" i="5"/>
  <c r="F92" i="5"/>
  <c r="AB91" i="5"/>
  <c r="Y91" i="5"/>
  <c r="V91" i="5"/>
  <c r="S91" i="5"/>
  <c r="P91" i="5"/>
  <c r="M91" i="5"/>
  <c r="J91" i="5"/>
  <c r="F91" i="5"/>
  <c r="AB90" i="5"/>
  <c r="Y90" i="5"/>
  <c r="V90" i="5"/>
  <c r="S90" i="5"/>
  <c r="P90" i="5"/>
  <c r="M90" i="5"/>
  <c r="J90" i="5"/>
  <c r="F90" i="5"/>
  <c r="AB89" i="5"/>
  <c r="Y89" i="5"/>
  <c r="V89" i="5"/>
  <c r="S89" i="5"/>
  <c r="P89" i="5"/>
  <c r="M89" i="5"/>
  <c r="J89" i="5"/>
  <c r="F89" i="5"/>
  <c r="AB88" i="5"/>
  <c r="Y88" i="5"/>
  <c r="V88" i="5"/>
  <c r="S88" i="5"/>
  <c r="P88" i="5"/>
  <c r="M88" i="5"/>
  <c r="J88" i="5"/>
  <c r="F88" i="5"/>
  <c r="AB87" i="5"/>
  <c r="Y87" i="5"/>
  <c r="V87" i="5"/>
  <c r="S87" i="5"/>
  <c r="P87" i="5"/>
  <c r="M87" i="5"/>
  <c r="J87" i="5"/>
  <c r="F87" i="5"/>
  <c r="AB86" i="5"/>
  <c r="Y86" i="5"/>
  <c r="V86" i="5"/>
  <c r="S86" i="5"/>
  <c r="P86" i="5"/>
  <c r="M86" i="5"/>
  <c r="J86" i="5"/>
  <c r="F86" i="5"/>
  <c r="AB85" i="5"/>
  <c r="Y85" i="5"/>
  <c r="V85" i="5"/>
  <c r="S85" i="5"/>
  <c r="P85" i="5"/>
  <c r="M85" i="5"/>
  <c r="J85" i="5"/>
  <c r="F85" i="5"/>
  <c r="A85" i="5"/>
  <c r="AB84" i="5"/>
  <c r="Y84" i="5"/>
  <c r="V84" i="5"/>
  <c r="S84" i="5"/>
  <c r="P84" i="5"/>
  <c r="M84" i="5"/>
  <c r="J84" i="5"/>
  <c r="F84" i="5"/>
  <c r="A84" i="5"/>
  <c r="A88" i="5" s="1"/>
  <c r="AB83" i="5"/>
  <c r="Y83" i="5"/>
  <c r="V83" i="5"/>
  <c r="S83" i="5"/>
  <c r="P83" i="5"/>
  <c r="M83" i="5"/>
  <c r="J83" i="5"/>
  <c r="F83" i="5"/>
  <c r="A83" i="5"/>
  <c r="AA82" i="5"/>
  <c r="X82" i="5"/>
  <c r="U82" i="5"/>
  <c r="R82" i="5"/>
  <c r="O82" i="5"/>
  <c r="L82" i="5"/>
  <c r="I82" i="5"/>
  <c r="A82" i="5"/>
  <c r="AA81" i="5"/>
  <c r="X81" i="5"/>
  <c r="U81" i="5"/>
  <c r="R81" i="5"/>
  <c r="O81" i="5"/>
  <c r="L81" i="5"/>
  <c r="I81" i="5"/>
  <c r="AF80" i="5"/>
  <c r="G80" i="5" s="1"/>
  <c r="F80" i="5"/>
  <c r="A80" i="5"/>
  <c r="AF79" i="5"/>
  <c r="G79" i="5" s="1"/>
  <c r="F79" i="5"/>
  <c r="A79" i="5"/>
  <c r="AF78" i="5"/>
  <c r="G78" i="5" s="1"/>
  <c r="F78" i="5"/>
  <c r="A78" i="5"/>
  <c r="AF77" i="5"/>
  <c r="G77" i="5" s="1"/>
  <c r="F77" i="5"/>
  <c r="A77" i="5"/>
  <c r="AF76" i="5"/>
  <c r="G76" i="5" s="1"/>
  <c r="F76" i="5"/>
  <c r="A76" i="5"/>
  <c r="AF75" i="5"/>
  <c r="G75" i="5" s="1"/>
  <c r="F75" i="5"/>
  <c r="A75" i="5"/>
  <c r="A74" i="5"/>
  <c r="AB73" i="5"/>
  <c r="Y73" i="5"/>
  <c r="V73" i="5"/>
  <c r="S73" i="5"/>
  <c r="P73" i="5"/>
  <c r="M73" i="5"/>
  <c r="J73" i="5"/>
  <c r="F73" i="5"/>
  <c r="A73" i="5"/>
  <c r="AB72" i="5"/>
  <c r="Y72" i="5"/>
  <c r="V72" i="5"/>
  <c r="S72" i="5"/>
  <c r="P72" i="5"/>
  <c r="M72" i="5"/>
  <c r="J72" i="5"/>
  <c r="F72" i="5"/>
  <c r="A72" i="5"/>
  <c r="AB71" i="5"/>
  <c r="Y71" i="5"/>
  <c r="V71" i="5"/>
  <c r="S71" i="5"/>
  <c r="P71" i="5"/>
  <c r="M71" i="5"/>
  <c r="J71" i="5"/>
  <c r="F71" i="5"/>
  <c r="A71" i="5"/>
  <c r="AB70" i="5"/>
  <c r="Y70" i="5"/>
  <c r="V70" i="5"/>
  <c r="S70" i="5"/>
  <c r="P70" i="5"/>
  <c r="M70" i="5"/>
  <c r="J70" i="5"/>
  <c r="F70" i="5"/>
  <c r="A70" i="5"/>
  <c r="AB69" i="5"/>
  <c r="Y69" i="5"/>
  <c r="V69" i="5"/>
  <c r="S69" i="5"/>
  <c r="P69" i="5"/>
  <c r="M69" i="5"/>
  <c r="J69" i="5"/>
  <c r="F69" i="5"/>
  <c r="A69" i="5"/>
  <c r="AB68" i="5"/>
  <c r="Y68" i="5"/>
  <c r="V68" i="5"/>
  <c r="S68" i="5"/>
  <c r="P68" i="5"/>
  <c r="M68" i="5"/>
  <c r="J68" i="5"/>
  <c r="F68" i="5"/>
  <c r="A68" i="5"/>
  <c r="AB67" i="5"/>
  <c r="Y67" i="5"/>
  <c r="V67" i="5"/>
  <c r="S67" i="5"/>
  <c r="P67" i="5"/>
  <c r="M67" i="5"/>
  <c r="J67" i="5"/>
  <c r="F67" i="5"/>
  <c r="A67" i="5"/>
  <c r="AB66" i="5"/>
  <c r="Y66" i="5"/>
  <c r="V66" i="5"/>
  <c r="S66" i="5"/>
  <c r="P66" i="5"/>
  <c r="M66" i="5"/>
  <c r="J66" i="5"/>
  <c r="F66" i="5"/>
  <c r="A66" i="5"/>
  <c r="AB65" i="5"/>
  <c r="Y65" i="5"/>
  <c r="V65" i="5"/>
  <c r="S65" i="5"/>
  <c r="P65" i="5"/>
  <c r="M65" i="5"/>
  <c r="J65" i="5"/>
  <c r="F65" i="5"/>
  <c r="A65" i="5"/>
  <c r="AB64" i="5"/>
  <c r="Y64" i="5"/>
  <c r="V64" i="5"/>
  <c r="S64" i="5"/>
  <c r="P64" i="5"/>
  <c r="M64" i="5"/>
  <c r="J64" i="5"/>
  <c r="F64" i="5"/>
  <c r="A64" i="5"/>
  <c r="AB63" i="5"/>
  <c r="Y63" i="5"/>
  <c r="V63" i="5"/>
  <c r="S63" i="5"/>
  <c r="P63" i="5"/>
  <c r="M63" i="5"/>
  <c r="J63" i="5"/>
  <c r="F63" i="5"/>
  <c r="A63" i="5"/>
  <c r="AB62" i="5"/>
  <c r="Y62" i="5"/>
  <c r="V62" i="5"/>
  <c r="S62" i="5"/>
  <c r="P62" i="5"/>
  <c r="M62" i="5"/>
  <c r="J62" i="5"/>
  <c r="F62" i="5"/>
  <c r="A62" i="5"/>
  <c r="AB61" i="5"/>
  <c r="Y61" i="5"/>
  <c r="V61" i="5"/>
  <c r="S61" i="5"/>
  <c r="P61" i="5"/>
  <c r="M61" i="5"/>
  <c r="J61" i="5"/>
  <c r="F61" i="5"/>
  <c r="A61" i="5"/>
  <c r="AB60" i="5"/>
  <c r="Y60" i="5"/>
  <c r="V60" i="5"/>
  <c r="S60" i="5"/>
  <c r="P60" i="5"/>
  <c r="M60" i="5"/>
  <c r="J60" i="5"/>
  <c r="F60" i="5"/>
  <c r="A60" i="5"/>
  <c r="AA59" i="5"/>
  <c r="X59" i="5"/>
  <c r="U59" i="5"/>
  <c r="R59" i="5"/>
  <c r="O59" i="5"/>
  <c r="L59" i="5"/>
  <c r="I59" i="5"/>
  <c r="A59" i="5"/>
  <c r="AA58" i="5"/>
  <c r="X58" i="5"/>
  <c r="U58" i="5"/>
  <c r="R58" i="5"/>
  <c r="O58" i="5"/>
  <c r="L58" i="5"/>
  <c r="I58" i="5"/>
  <c r="AF57" i="5"/>
  <c r="G57" i="5" s="1"/>
  <c r="F57" i="5"/>
  <c r="A57" i="5"/>
  <c r="AF56" i="5"/>
  <c r="G56" i="5" s="1"/>
  <c r="F56" i="5"/>
  <c r="A56" i="5"/>
  <c r="AF55" i="5"/>
  <c r="G55" i="5" s="1"/>
  <c r="F55" i="5"/>
  <c r="A55" i="5"/>
  <c r="AF54" i="5"/>
  <c r="G54" i="5" s="1"/>
  <c r="F54" i="5"/>
  <c r="A54" i="5"/>
  <c r="AF53" i="5"/>
  <c r="G53" i="5" s="1"/>
  <c r="F53" i="5"/>
  <c r="A53" i="5"/>
  <c r="AF52" i="5"/>
  <c r="G52" i="5" s="1"/>
  <c r="F52" i="5"/>
  <c r="A52" i="5"/>
  <c r="A51" i="5"/>
  <c r="AB50" i="5"/>
  <c r="Y50" i="5"/>
  <c r="V50" i="5"/>
  <c r="S50" i="5"/>
  <c r="P50" i="5"/>
  <c r="M50" i="5"/>
  <c r="J50" i="5"/>
  <c r="F50" i="5"/>
  <c r="A50" i="5"/>
  <c r="AB49" i="5"/>
  <c r="Y49" i="5"/>
  <c r="V49" i="5"/>
  <c r="S49" i="5"/>
  <c r="P49" i="5"/>
  <c r="M49" i="5"/>
  <c r="J49" i="5"/>
  <c r="F49" i="5"/>
  <c r="A49" i="5"/>
  <c r="AB48" i="5"/>
  <c r="Y48" i="5"/>
  <c r="V48" i="5"/>
  <c r="S48" i="5"/>
  <c r="P48" i="5"/>
  <c r="M48" i="5"/>
  <c r="J48" i="5"/>
  <c r="F48" i="5"/>
  <c r="A48" i="5"/>
  <c r="AB47" i="5"/>
  <c r="Y47" i="5"/>
  <c r="V47" i="5"/>
  <c r="S47" i="5"/>
  <c r="P47" i="5"/>
  <c r="M47" i="5"/>
  <c r="J47" i="5"/>
  <c r="F47" i="5"/>
  <c r="A47" i="5"/>
  <c r="AB46" i="5"/>
  <c r="Y46" i="5"/>
  <c r="V46" i="5"/>
  <c r="S46" i="5"/>
  <c r="P46" i="5"/>
  <c r="M46" i="5"/>
  <c r="J46" i="5"/>
  <c r="F46" i="5"/>
  <c r="A46" i="5"/>
  <c r="AB45" i="5"/>
  <c r="Y45" i="5"/>
  <c r="V45" i="5"/>
  <c r="S45" i="5"/>
  <c r="P45" i="5"/>
  <c r="M45" i="5"/>
  <c r="J45" i="5"/>
  <c r="F45" i="5"/>
  <c r="A45" i="5"/>
  <c r="AB44" i="5"/>
  <c r="Y44" i="5"/>
  <c r="V44" i="5"/>
  <c r="S44" i="5"/>
  <c r="P44" i="5"/>
  <c r="M44" i="5"/>
  <c r="J44" i="5"/>
  <c r="F44" i="5"/>
  <c r="A44" i="5"/>
  <c r="AB43" i="5"/>
  <c r="Y43" i="5"/>
  <c r="V43" i="5"/>
  <c r="S43" i="5"/>
  <c r="P43" i="5"/>
  <c r="M43" i="5"/>
  <c r="J43" i="5"/>
  <c r="F43" i="5"/>
  <c r="A43" i="5"/>
  <c r="AB42" i="5"/>
  <c r="Y42" i="5"/>
  <c r="V42" i="5"/>
  <c r="S42" i="5"/>
  <c r="P42" i="5"/>
  <c r="M42" i="5"/>
  <c r="J42" i="5"/>
  <c r="F42" i="5"/>
  <c r="A42" i="5"/>
  <c r="AB41" i="5"/>
  <c r="Y41" i="5"/>
  <c r="V41" i="5"/>
  <c r="S41" i="5"/>
  <c r="P41" i="5"/>
  <c r="M41" i="5"/>
  <c r="J41" i="5"/>
  <c r="F41" i="5"/>
  <c r="A41" i="5"/>
  <c r="AB40" i="5"/>
  <c r="Y40" i="5"/>
  <c r="V40" i="5"/>
  <c r="S40" i="5"/>
  <c r="P40" i="5"/>
  <c r="M40" i="5"/>
  <c r="J40" i="5"/>
  <c r="F40" i="5"/>
  <c r="A40" i="5"/>
  <c r="AB39" i="5"/>
  <c r="Y39" i="5"/>
  <c r="V39" i="5"/>
  <c r="S39" i="5"/>
  <c r="P39" i="5"/>
  <c r="M39" i="5"/>
  <c r="J39" i="5"/>
  <c r="F39" i="5"/>
  <c r="A39" i="5"/>
  <c r="AB38" i="5"/>
  <c r="Y38" i="5"/>
  <c r="V38" i="5"/>
  <c r="S38" i="5"/>
  <c r="P38" i="5"/>
  <c r="M38" i="5"/>
  <c r="J38" i="5"/>
  <c r="F38" i="5"/>
  <c r="A38" i="5"/>
  <c r="AB37" i="5"/>
  <c r="Y37" i="5"/>
  <c r="V37" i="5"/>
  <c r="S37" i="5"/>
  <c r="P37" i="5"/>
  <c r="M37" i="5"/>
  <c r="J37" i="5"/>
  <c r="F37" i="5"/>
  <c r="A37" i="5"/>
  <c r="AA36" i="5"/>
  <c r="X36" i="5"/>
  <c r="U36" i="5"/>
  <c r="R36" i="5"/>
  <c r="O36" i="5"/>
  <c r="L36" i="5"/>
  <c r="I36" i="5"/>
  <c r="A36" i="5"/>
  <c r="AA35" i="5"/>
  <c r="X35" i="5"/>
  <c r="U35" i="5"/>
  <c r="R35" i="5"/>
  <c r="O35" i="5"/>
  <c r="L35" i="5"/>
  <c r="I35" i="5"/>
  <c r="AF34" i="5"/>
  <c r="G34" i="5" s="1"/>
  <c r="F34" i="5"/>
  <c r="A34" i="5"/>
  <c r="AF33" i="5"/>
  <c r="G33" i="5" s="1"/>
  <c r="F33" i="5"/>
  <c r="A33" i="5"/>
  <c r="AF32" i="5"/>
  <c r="G32" i="5" s="1"/>
  <c r="F32" i="5"/>
  <c r="A32" i="5"/>
  <c r="AF31" i="5"/>
  <c r="G31" i="5" s="1"/>
  <c r="F31" i="5"/>
  <c r="A31" i="5"/>
  <c r="AF30" i="5"/>
  <c r="G30" i="5" s="1"/>
  <c r="F30" i="5"/>
  <c r="A30" i="5"/>
  <c r="AF29" i="5"/>
  <c r="G29" i="5" s="1"/>
  <c r="F29" i="5"/>
  <c r="A29" i="5"/>
  <c r="A28" i="5"/>
  <c r="AB27" i="5"/>
  <c r="Y27" i="5"/>
  <c r="V27" i="5"/>
  <c r="S27" i="5"/>
  <c r="P27" i="5"/>
  <c r="M27" i="5"/>
  <c r="J27" i="5"/>
  <c r="F27" i="5"/>
  <c r="A27" i="5"/>
  <c r="AB26" i="5"/>
  <c r="Y26" i="5"/>
  <c r="V26" i="5"/>
  <c r="S26" i="5"/>
  <c r="P26" i="5"/>
  <c r="M26" i="5"/>
  <c r="J26" i="5"/>
  <c r="F26" i="5"/>
  <c r="A26" i="5"/>
  <c r="AB25" i="5"/>
  <c r="Y25" i="5"/>
  <c r="V25" i="5"/>
  <c r="S25" i="5"/>
  <c r="P25" i="5"/>
  <c r="M25" i="5"/>
  <c r="J25" i="5"/>
  <c r="F25" i="5"/>
  <c r="AB24" i="5"/>
  <c r="Y24" i="5"/>
  <c r="V24" i="5"/>
  <c r="S24" i="5"/>
  <c r="P24" i="5"/>
  <c r="M24" i="5"/>
  <c r="J24" i="5"/>
  <c r="F24" i="5"/>
  <c r="AB23" i="5"/>
  <c r="Y23" i="5"/>
  <c r="V23" i="5"/>
  <c r="S23" i="5"/>
  <c r="P23" i="5"/>
  <c r="M23" i="5"/>
  <c r="J23" i="5"/>
  <c r="F23" i="5"/>
  <c r="AB22" i="5"/>
  <c r="Y22" i="5"/>
  <c r="V22" i="5"/>
  <c r="S22" i="5"/>
  <c r="P22" i="5"/>
  <c r="M22" i="5"/>
  <c r="J22" i="5"/>
  <c r="F22" i="5"/>
  <c r="A22" i="5"/>
  <c r="AB21" i="5"/>
  <c r="Y21" i="5"/>
  <c r="V21" i="5"/>
  <c r="S21" i="5"/>
  <c r="P21" i="5"/>
  <c r="M21" i="5"/>
  <c r="J21" i="5"/>
  <c r="F21" i="5"/>
  <c r="A21" i="5"/>
  <c r="AB20" i="5"/>
  <c r="Y20" i="5"/>
  <c r="V20" i="5"/>
  <c r="S20" i="5"/>
  <c r="P20" i="5"/>
  <c r="M20" i="5"/>
  <c r="J20" i="5"/>
  <c r="F20" i="5"/>
  <c r="A20" i="5"/>
  <c r="AB19" i="5"/>
  <c r="Y19" i="5"/>
  <c r="V19" i="5"/>
  <c r="S19" i="5"/>
  <c r="P19" i="5"/>
  <c r="M19" i="5"/>
  <c r="J19" i="5"/>
  <c r="F19" i="5"/>
  <c r="A19" i="5"/>
  <c r="AB18" i="5"/>
  <c r="Y18" i="5"/>
  <c r="V18" i="5"/>
  <c r="S18" i="5"/>
  <c r="P18" i="5"/>
  <c r="M18" i="5"/>
  <c r="J18" i="5"/>
  <c r="F18" i="5"/>
  <c r="A18" i="5"/>
  <c r="AB17" i="5"/>
  <c r="Y17" i="5"/>
  <c r="V17" i="5"/>
  <c r="S17" i="5"/>
  <c r="P17" i="5"/>
  <c r="M17" i="5"/>
  <c r="J17" i="5"/>
  <c r="F17" i="5"/>
  <c r="A17" i="5"/>
  <c r="AB16" i="5"/>
  <c r="Y16" i="5"/>
  <c r="V16" i="5"/>
  <c r="S16" i="5"/>
  <c r="P16" i="5"/>
  <c r="M16" i="5"/>
  <c r="J16" i="5"/>
  <c r="F16" i="5"/>
  <c r="A16" i="5"/>
  <c r="AB15" i="5"/>
  <c r="Y15" i="5"/>
  <c r="V15" i="5"/>
  <c r="S15" i="5"/>
  <c r="P15" i="5"/>
  <c r="M15" i="5"/>
  <c r="J15" i="5"/>
  <c r="F15" i="5"/>
  <c r="A15" i="5"/>
  <c r="AB14" i="5"/>
  <c r="Y14" i="5"/>
  <c r="V14" i="5"/>
  <c r="S14" i="5"/>
  <c r="P14" i="5"/>
  <c r="M14" i="5"/>
  <c r="J14" i="5"/>
  <c r="F14" i="5"/>
  <c r="A14" i="5"/>
  <c r="AB13" i="5"/>
  <c r="Y13" i="5"/>
  <c r="V13" i="5"/>
  <c r="S13" i="5"/>
  <c r="P13" i="5"/>
  <c r="M13" i="5"/>
  <c r="J13" i="5"/>
  <c r="F13" i="5"/>
  <c r="A13" i="5"/>
  <c r="AB12" i="5"/>
  <c r="Y12" i="5"/>
  <c r="V12" i="5"/>
  <c r="S12" i="5"/>
  <c r="P12" i="5"/>
  <c r="M12" i="5"/>
  <c r="J12" i="5"/>
  <c r="F12" i="5"/>
  <c r="A12" i="5"/>
  <c r="A25" i="5" s="1"/>
  <c r="AB11" i="5"/>
  <c r="Y11" i="5"/>
  <c r="V11" i="5"/>
  <c r="S11" i="5"/>
  <c r="P11" i="5"/>
  <c r="M11" i="5"/>
  <c r="J11" i="5"/>
  <c r="F11" i="5"/>
  <c r="A11" i="5"/>
  <c r="A24" i="5" s="1"/>
  <c r="AA10" i="5"/>
  <c r="X10" i="5"/>
  <c r="U10" i="5"/>
  <c r="R10" i="5"/>
  <c r="O10" i="5"/>
  <c r="L10" i="5"/>
  <c r="I10" i="5"/>
  <c r="A10" i="5"/>
  <c r="A23" i="5" s="1"/>
  <c r="AA9" i="5"/>
  <c r="X9" i="5"/>
  <c r="U9" i="5"/>
  <c r="R9" i="5"/>
  <c r="O9" i="5"/>
  <c r="L9" i="5"/>
  <c r="I9" i="5"/>
  <c r="J176" i="10" l="1"/>
  <c r="F116" i="5"/>
  <c r="F51" i="5"/>
  <c r="G45" i="5"/>
  <c r="G49" i="5"/>
  <c r="F74" i="5"/>
  <c r="G37" i="5"/>
  <c r="G41" i="5"/>
  <c r="P35" i="5"/>
  <c r="G105" i="5"/>
  <c r="F108" i="5"/>
  <c r="F81" i="5" s="1"/>
  <c r="M74" i="10" s="1"/>
  <c r="A86" i="5"/>
  <c r="G28" i="5"/>
  <c r="G47" i="5"/>
  <c r="J182" i="10"/>
  <c r="AB35" i="5"/>
  <c r="G208" i="5"/>
  <c r="F211" i="5"/>
  <c r="G220" i="5"/>
  <c r="G228" i="5"/>
  <c r="G232" i="5"/>
  <c r="G43" i="5"/>
  <c r="G87" i="5"/>
  <c r="G176" i="5"/>
  <c r="P196" i="5"/>
  <c r="C189" i="10"/>
  <c r="C181" i="10"/>
  <c r="G71" i="5"/>
  <c r="V81" i="5"/>
  <c r="G199" i="5"/>
  <c r="J185" i="10"/>
  <c r="K185" i="10" s="1"/>
  <c r="S36" i="5"/>
  <c r="AB36" i="5"/>
  <c r="J163" i="10"/>
  <c r="C166" i="10"/>
  <c r="P36" i="5"/>
  <c r="Y36" i="5"/>
  <c r="AB59" i="5"/>
  <c r="P173" i="5"/>
  <c r="G198" i="5"/>
  <c r="G202" i="5"/>
  <c r="V218" i="5"/>
  <c r="J164" i="10"/>
  <c r="P58" i="5"/>
  <c r="AF28" i="5"/>
  <c r="AF9" i="5" s="1"/>
  <c r="G40" i="5"/>
  <c r="G42" i="5"/>
  <c r="G185" i="5"/>
  <c r="J177" i="10"/>
  <c r="K177" i="10" s="1"/>
  <c r="M36" i="5"/>
  <c r="V35" i="5"/>
  <c r="G44" i="5"/>
  <c r="G46" i="5"/>
  <c r="G74" i="5"/>
  <c r="C182" i="10"/>
  <c r="F36" i="5"/>
  <c r="G48" i="5"/>
  <c r="G50" i="5"/>
  <c r="AF74" i="5"/>
  <c r="AF58" i="5" s="1"/>
  <c r="A87" i="5"/>
  <c r="A89" i="5" s="1"/>
  <c r="G140" i="5"/>
  <c r="J167" i="10"/>
  <c r="K167" i="10" s="1"/>
  <c r="J35" i="5"/>
  <c r="G39" i="5"/>
  <c r="AB172" i="5"/>
  <c r="G180" i="5"/>
  <c r="F188" i="5"/>
  <c r="F172" i="5" s="1"/>
  <c r="M165" i="10" s="1"/>
  <c r="J190" i="10"/>
  <c r="K190" i="10" s="1"/>
  <c r="F234" i="5"/>
  <c r="F218" i="5" s="1"/>
  <c r="AF234" i="5"/>
  <c r="AF218" i="5" s="1"/>
  <c r="G235" i="5"/>
  <c r="G234" i="5" s="1"/>
  <c r="G224" i="5"/>
  <c r="G223" i="5"/>
  <c r="F219" i="5"/>
  <c r="Y219" i="5"/>
  <c r="P219" i="5"/>
  <c r="G227" i="5"/>
  <c r="V219" i="5"/>
  <c r="G222" i="5"/>
  <c r="G231" i="5"/>
  <c r="M219" i="5"/>
  <c r="G226" i="5"/>
  <c r="G230" i="5"/>
  <c r="G221" i="5"/>
  <c r="G225" i="5"/>
  <c r="P218" i="5"/>
  <c r="G229" i="5"/>
  <c r="J218" i="5"/>
  <c r="S218" i="5"/>
  <c r="G233" i="5"/>
  <c r="J219" i="5"/>
  <c r="S219" i="5"/>
  <c r="AB219" i="5"/>
  <c r="AF211" i="5"/>
  <c r="AF195" i="5" s="1"/>
  <c r="J193" i="10"/>
  <c r="K193" i="10" s="1"/>
  <c r="G210" i="5"/>
  <c r="G206" i="5"/>
  <c r="G201" i="5"/>
  <c r="J191" i="10"/>
  <c r="K191" i="10" s="1"/>
  <c r="J192" i="10"/>
  <c r="K192" i="10" s="1"/>
  <c r="M197" i="10"/>
  <c r="K197" i="10"/>
  <c r="Y196" i="5"/>
  <c r="G205" i="5"/>
  <c r="K189" i="10"/>
  <c r="C192" i="10"/>
  <c r="J196" i="10"/>
  <c r="K196" i="10" s="1"/>
  <c r="V195" i="5"/>
  <c r="G200" i="5"/>
  <c r="G209" i="5"/>
  <c r="C191" i="10"/>
  <c r="J195" i="10"/>
  <c r="G204" i="5"/>
  <c r="C190" i="10"/>
  <c r="J194" i="10"/>
  <c r="K194" i="10" s="1"/>
  <c r="G203" i="5"/>
  <c r="G207" i="5"/>
  <c r="J195" i="5"/>
  <c r="S196" i="5"/>
  <c r="F196" i="5"/>
  <c r="M196" i="5"/>
  <c r="AB196" i="5"/>
  <c r="K181" i="10"/>
  <c r="J187" i="10"/>
  <c r="J186" i="10"/>
  <c r="K186" i="10" s="1"/>
  <c r="AF188" i="5"/>
  <c r="AF172" i="5" s="1"/>
  <c r="J184" i="10"/>
  <c r="K184" i="10" s="1"/>
  <c r="J183" i="10"/>
  <c r="K183" i="10" s="1"/>
  <c r="G188" i="5"/>
  <c r="J178" i="10"/>
  <c r="K178" i="10" s="1"/>
  <c r="J179" i="10"/>
  <c r="K179" i="10" s="1"/>
  <c r="J168" i="10"/>
  <c r="K168" i="10" s="1"/>
  <c r="J180" i="10"/>
  <c r="K180" i="10" s="1"/>
  <c r="G184" i="5"/>
  <c r="J173" i="5"/>
  <c r="C179" i="10"/>
  <c r="C167" i="10"/>
  <c r="J175" i="10"/>
  <c r="K175" i="10" s="1"/>
  <c r="C178" i="10"/>
  <c r="J174" i="10"/>
  <c r="K174" i="10" s="1"/>
  <c r="AB173" i="5"/>
  <c r="C177" i="10"/>
  <c r="J173" i="10"/>
  <c r="K173" i="10" s="1"/>
  <c r="G175" i="5"/>
  <c r="J172" i="10"/>
  <c r="F173" i="5"/>
  <c r="P172" i="5"/>
  <c r="G179" i="5"/>
  <c r="J171" i="10"/>
  <c r="K171" i="10" s="1"/>
  <c r="G183" i="5"/>
  <c r="J170" i="10"/>
  <c r="K170" i="10" s="1"/>
  <c r="M172" i="5"/>
  <c r="G187" i="5"/>
  <c r="J169" i="10"/>
  <c r="K169" i="10" s="1"/>
  <c r="G178" i="5"/>
  <c r="S173" i="5"/>
  <c r="G182" i="5"/>
  <c r="G186" i="5"/>
  <c r="V173" i="5"/>
  <c r="G177" i="5"/>
  <c r="Y172" i="5"/>
  <c r="G181" i="5"/>
  <c r="F165" i="5"/>
  <c r="F149" i="5" s="1"/>
  <c r="M142" i="10" s="1"/>
  <c r="C164" i="10"/>
  <c r="C163" i="10"/>
  <c r="G70" i="5"/>
  <c r="G67" i="5"/>
  <c r="K182" i="10"/>
  <c r="K166" i="10"/>
  <c r="K176" i="10"/>
  <c r="G64" i="5"/>
  <c r="F59" i="5"/>
  <c r="V59" i="5"/>
  <c r="F58" i="5"/>
  <c r="M51" i="10" s="1"/>
  <c r="G66" i="5"/>
  <c r="G72" i="5"/>
  <c r="G65" i="5"/>
  <c r="G68" i="5"/>
  <c r="G62" i="5"/>
  <c r="G61" i="5"/>
  <c r="V58" i="5"/>
  <c r="J58" i="5"/>
  <c r="G73" i="5"/>
  <c r="G69" i="5"/>
  <c r="S59" i="5"/>
  <c r="J59" i="5"/>
  <c r="P59" i="5"/>
  <c r="G63" i="5"/>
  <c r="S58" i="5"/>
  <c r="AB58" i="5"/>
  <c r="Y58" i="5"/>
  <c r="F28" i="5"/>
  <c r="F9" i="5" s="1"/>
  <c r="M2" i="10" s="1"/>
  <c r="G51" i="5"/>
  <c r="AF51" i="5"/>
  <c r="AF35" i="5" s="1"/>
  <c r="V149" i="5"/>
  <c r="C146" i="10"/>
  <c r="J149" i="5"/>
  <c r="C154" i="10"/>
  <c r="C144" i="10"/>
  <c r="C152" i="10"/>
  <c r="C156" i="10"/>
  <c r="C151" i="10"/>
  <c r="AB9" i="5"/>
  <c r="P9" i="5"/>
  <c r="V9" i="5"/>
  <c r="G14" i="5"/>
  <c r="G15" i="5"/>
  <c r="G22" i="5"/>
  <c r="G25" i="5"/>
  <c r="C188" i="10"/>
  <c r="K165" i="10"/>
  <c r="C165" i="10"/>
  <c r="S10" i="5"/>
  <c r="G17" i="5"/>
  <c r="G27" i="5"/>
  <c r="Y10" i="5"/>
  <c r="G20" i="5"/>
  <c r="AB10" i="5"/>
  <c r="G19" i="5"/>
  <c r="G11" i="5"/>
  <c r="M10" i="5"/>
  <c r="P10" i="5"/>
  <c r="G13" i="5"/>
  <c r="G21" i="5"/>
  <c r="G23" i="5"/>
  <c r="F10" i="5"/>
  <c r="G18" i="5"/>
  <c r="G26" i="5"/>
  <c r="G16" i="5"/>
  <c r="G24" i="5"/>
  <c r="J9" i="5"/>
  <c r="G165" i="5"/>
  <c r="V150" i="5"/>
  <c r="AB149" i="5"/>
  <c r="J150" i="5"/>
  <c r="G117" i="5"/>
  <c r="G124" i="5"/>
  <c r="G128" i="5"/>
  <c r="G132" i="5"/>
  <c r="G136" i="5"/>
  <c r="G137" i="5"/>
  <c r="G120" i="5"/>
  <c r="G134" i="5"/>
  <c r="G135" i="5"/>
  <c r="G141" i="5"/>
  <c r="V115" i="5"/>
  <c r="X4" i="5"/>
  <c r="G93" i="5"/>
  <c r="G101" i="5"/>
  <c r="F82" i="5"/>
  <c r="G89" i="5"/>
  <c r="G90" i="5"/>
  <c r="G97" i="5"/>
  <c r="G85" i="5"/>
  <c r="J82" i="5"/>
  <c r="J81" i="5"/>
  <c r="AB81" i="5"/>
  <c r="G88" i="5"/>
  <c r="G98" i="5"/>
  <c r="P82" i="5"/>
  <c r="G94" i="5"/>
  <c r="G91" i="5"/>
  <c r="G102" i="5"/>
  <c r="Y82" i="5"/>
  <c r="G92" i="5"/>
  <c r="G106" i="5"/>
  <c r="G83" i="5"/>
  <c r="G95" i="5"/>
  <c r="U4" i="5"/>
  <c r="M82" i="5"/>
  <c r="G86" i="5"/>
  <c r="G96" i="5"/>
  <c r="G99" i="5"/>
  <c r="V82" i="5"/>
  <c r="G84" i="5"/>
  <c r="G100" i="5"/>
  <c r="G103" i="5"/>
  <c r="S82" i="5"/>
  <c r="P81" i="5"/>
  <c r="G104" i="5"/>
  <c r="G107" i="5"/>
  <c r="G108" i="5"/>
  <c r="AF108" i="5"/>
  <c r="AF81" i="5" s="1"/>
  <c r="G138" i="5"/>
  <c r="G139" i="5"/>
  <c r="M116" i="5"/>
  <c r="G118" i="5"/>
  <c r="G119" i="5"/>
  <c r="J116" i="5"/>
  <c r="S116" i="5"/>
  <c r="P115" i="5"/>
  <c r="P116" i="5"/>
  <c r="G121" i="5"/>
  <c r="G122" i="5"/>
  <c r="G123" i="5"/>
  <c r="G125" i="5"/>
  <c r="J115" i="5"/>
  <c r="Y116" i="5"/>
  <c r="V116" i="5"/>
  <c r="G126" i="5"/>
  <c r="G127" i="5"/>
  <c r="G129" i="5"/>
  <c r="AB115" i="5"/>
  <c r="G130" i="5"/>
  <c r="G131" i="5"/>
  <c r="G133" i="5"/>
  <c r="F142" i="5"/>
  <c r="F115" i="5" s="1"/>
  <c r="M108" i="10" s="1"/>
  <c r="I4" i="5"/>
  <c r="AF142" i="5"/>
  <c r="AF115" i="5" s="1"/>
  <c r="AA4" i="5"/>
  <c r="G143" i="5"/>
  <c r="G142" i="5" s="1"/>
  <c r="G152" i="5"/>
  <c r="Y150" i="5"/>
  <c r="G158" i="5"/>
  <c r="G154" i="5"/>
  <c r="S150" i="5"/>
  <c r="G164" i="5"/>
  <c r="G157" i="5"/>
  <c r="R4" i="5"/>
  <c r="P150" i="5"/>
  <c r="G153" i="5"/>
  <c r="P149" i="5"/>
  <c r="G155" i="5"/>
  <c r="G161" i="5"/>
  <c r="G162" i="5"/>
  <c r="O4" i="5"/>
  <c r="F150" i="5"/>
  <c r="M150" i="5"/>
  <c r="G159" i="5"/>
  <c r="G160" i="5"/>
  <c r="G156" i="5"/>
  <c r="G163" i="5"/>
  <c r="L4" i="5"/>
  <c r="G151" i="5"/>
  <c r="G211" i="5"/>
  <c r="G197" i="5"/>
  <c r="M9" i="5"/>
  <c r="Y9" i="5"/>
  <c r="J10" i="5"/>
  <c r="V10" i="5"/>
  <c r="M35" i="5"/>
  <c r="Y35" i="5"/>
  <c r="J36" i="5"/>
  <c r="V36" i="5"/>
  <c r="S81" i="5"/>
  <c r="AB82" i="5"/>
  <c r="S115" i="5"/>
  <c r="AB116" i="5"/>
  <c r="S149" i="5"/>
  <c r="AB150" i="5"/>
  <c r="AF165" i="5"/>
  <c r="AF149" i="5" s="1"/>
  <c r="M173" i="5"/>
  <c r="Y173" i="5"/>
  <c r="M195" i="5"/>
  <c r="Y195" i="5"/>
  <c r="J196" i="5"/>
  <c r="V196" i="5"/>
  <c r="S172" i="5"/>
  <c r="AB195" i="5"/>
  <c r="M218" i="5"/>
  <c r="Y218" i="5"/>
  <c r="G38" i="5"/>
  <c r="P195" i="5"/>
  <c r="F35" i="5"/>
  <c r="M28" i="10" s="1"/>
  <c r="F195" i="5"/>
  <c r="M188" i="10" s="1"/>
  <c r="M58" i="5"/>
  <c r="M59" i="5"/>
  <c r="Y59" i="5"/>
  <c r="M81" i="5"/>
  <c r="Y81" i="5"/>
  <c r="M115" i="5"/>
  <c r="Y115" i="5"/>
  <c r="M149" i="5"/>
  <c r="Y149" i="5"/>
  <c r="J172" i="5"/>
  <c r="V172" i="5"/>
  <c r="S195" i="5"/>
  <c r="AB218" i="5"/>
  <c r="G12" i="5"/>
  <c r="G60" i="5"/>
  <c r="S35" i="5"/>
  <c r="G174" i="5"/>
  <c r="S9" i="5"/>
  <c r="A90" i="5" l="1"/>
  <c r="A93" i="5" s="1"/>
  <c r="A96" i="5" s="1"/>
  <c r="A99" i="5" s="1"/>
  <c r="A91" i="5"/>
  <c r="G36" i="5"/>
  <c r="G82" i="5"/>
  <c r="G218" i="5"/>
  <c r="G219" i="5"/>
  <c r="K195" i="10"/>
  <c r="K187" i="10"/>
  <c r="K172" i="10"/>
  <c r="V5" i="5"/>
  <c r="G10" i="5"/>
  <c r="G9" i="5"/>
  <c r="G116" i="5"/>
  <c r="G81" i="5"/>
  <c r="J5" i="5"/>
  <c r="P5" i="5"/>
  <c r="AB5" i="5"/>
  <c r="G115" i="5"/>
  <c r="AF6" i="5"/>
  <c r="G6" i="5" s="1"/>
  <c r="F4" i="5"/>
  <c r="G149" i="5"/>
  <c r="G150" i="5"/>
  <c r="Y5" i="5"/>
  <c r="G35" i="5"/>
  <c r="M5" i="5"/>
  <c r="G58" i="5"/>
  <c r="G59" i="5"/>
  <c r="G196" i="5"/>
  <c r="G195" i="5"/>
  <c r="G172" i="5"/>
  <c r="G173" i="5"/>
  <c r="S5" i="5"/>
  <c r="A100" i="5" l="1"/>
  <c r="A98" i="5"/>
  <c r="A95" i="5"/>
  <c r="A97" i="5"/>
  <c r="A92" i="5"/>
  <c r="A94" i="5"/>
  <c r="G5" i="5"/>
  <c r="G3" i="5" s="1"/>
  <c r="A101" i="5"/>
  <c r="A103" i="5"/>
  <c r="A102" i="5"/>
  <c r="A105" i="5" l="1"/>
  <c r="A107" i="5" s="1"/>
  <c r="A104" i="5"/>
  <c r="A106" i="5"/>
  <c r="M196" i="10" l="1"/>
  <c r="M195" i="10"/>
  <c r="M194" i="10"/>
  <c r="M193" i="10"/>
  <c r="M192" i="10"/>
  <c r="M191" i="10"/>
  <c r="M190" i="10"/>
  <c r="M189" i="10"/>
  <c r="M187" i="10"/>
  <c r="M186" i="10"/>
  <c r="M185" i="10"/>
  <c r="I185" i="10"/>
  <c r="M184" i="10"/>
  <c r="M183" i="10"/>
  <c r="M182" i="10"/>
  <c r="M181" i="10"/>
  <c r="M180" i="10"/>
  <c r="M179" i="10"/>
  <c r="M178" i="10"/>
  <c r="M177" i="10"/>
  <c r="M176" i="10"/>
  <c r="I176" i="10"/>
  <c r="M175" i="10"/>
  <c r="M174" i="10"/>
  <c r="M173" i="10"/>
  <c r="M172" i="10"/>
  <c r="M171" i="10"/>
  <c r="M170" i="10"/>
  <c r="M169" i="10"/>
  <c r="M168" i="10"/>
  <c r="M167" i="10"/>
  <c r="M166" i="10"/>
  <c r="M164" i="10"/>
  <c r="M163" i="10"/>
  <c r="J162" i="10"/>
  <c r="J161" i="10"/>
  <c r="J158" i="10"/>
  <c r="H156" i="10"/>
  <c r="J155" i="10"/>
  <c r="I152" i="10"/>
  <c r="J151" i="10"/>
  <c r="J150" i="10"/>
  <c r="J147" i="10"/>
  <c r="J143" i="10"/>
  <c r="J142" i="10"/>
  <c r="I137" i="10"/>
  <c r="J134" i="10"/>
  <c r="J131" i="10"/>
  <c r="J127" i="10"/>
  <c r="J126" i="10"/>
  <c r="J124" i="10"/>
  <c r="J121" i="10"/>
  <c r="H119" i="10"/>
  <c r="J117" i="10"/>
  <c r="J115" i="10"/>
  <c r="H111" i="10"/>
  <c r="C108" i="10"/>
  <c r="I107" i="10"/>
  <c r="J105" i="10"/>
  <c r="C104" i="10"/>
  <c r="H103" i="10"/>
  <c r="I101" i="10"/>
  <c r="C100" i="10"/>
  <c r="C99" i="10"/>
  <c r="I97" i="10"/>
  <c r="J91" i="10"/>
  <c r="J89" i="10"/>
  <c r="H87" i="10"/>
  <c r="J85" i="10"/>
  <c r="J81" i="10"/>
  <c r="I79" i="10"/>
  <c r="J77" i="10"/>
  <c r="J73" i="10"/>
  <c r="C72" i="10"/>
  <c r="C68" i="10"/>
  <c r="C67" i="10"/>
  <c r="J65" i="10"/>
  <c r="C63" i="10"/>
  <c r="H62" i="10"/>
  <c r="J61" i="10"/>
  <c r="C60" i="10"/>
  <c r="C59" i="10"/>
  <c r="J57" i="10"/>
  <c r="C56" i="10"/>
  <c r="C55" i="10"/>
  <c r="I53" i="10"/>
  <c r="D52" i="10"/>
  <c r="J52" i="10"/>
  <c r="J51" i="10"/>
  <c r="K51" i="10" s="1"/>
  <c r="J49" i="10"/>
  <c r="I48" i="10"/>
  <c r="I47" i="10"/>
  <c r="J45" i="10"/>
  <c r="C43" i="10"/>
  <c r="I42" i="10"/>
  <c r="J41" i="10"/>
  <c r="I39" i="10"/>
  <c r="J37" i="10"/>
  <c r="J36" i="10"/>
  <c r="J34" i="10"/>
  <c r="J33" i="10"/>
  <c r="J32" i="10"/>
  <c r="J30" i="10"/>
  <c r="D29" i="10"/>
  <c r="I29" i="10"/>
  <c r="J28" i="10"/>
  <c r="K28" i="10" s="1"/>
  <c r="I27" i="10"/>
  <c r="J26" i="10"/>
  <c r="I25" i="10"/>
  <c r="I23" i="10"/>
  <c r="J22" i="10"/>
  <c r="J21" i="10"/>
  <c r="I19" i="10"/>
  <c r="J18" i="10"/>
  <c r="I17" i="10"/>
  <c r="J13" i="10"/>
  <c r="I11" i="10"/>
  <c r="J10" i="10"/>
  <c r="I7" i="10"/>
  <c r="I4" i="10"/>
  <c r="D3" i="10"/>
  <c r="D2" i="10"/>
  <c r="J2" i="10"/>
  <c r="K2" i="10" s="1"/>
  <c r="I192" i="10"/>
  <c r="H192" i="10"/>
  <c r="I184" i="10"/>
  <c r="H184" i="10"/>
  <c r="I183" i="10"/>
  <c r="H178" i="10"/>
  <c r="I177" i="10"/>
  <c r="I175" i="10"/>
  <c r="I171" i="10"/>
  <c r="I167" i="10"/>
  <c r="I162" i="10"/>
  <c r="I161" i="10"/>
  <c r="H161" i="10"/>
  <c r="I159" i="10"/>
  <c r="I155" i="10"/>
  <c r="I153" i="10"/>
  <c r="I151" i="10"/>
  <c r="H145" i="10"/>
  <c r="I144" i="10"/>
  <c r="H144" i="10"/>
  <c r="I139" i="10"/>
  <c r="I136" i="10"/>
  <c r="H136" i="10"/>
  <c r="H130" i="10"/>
  <c r="I128" i="10"/>
  <c r="H128" i="10"/>
  <c r="H124" i="10"/>
  <c r="I121" i="10"/>
  <c r="I117" i="10"/>
  <c r="I111" i="10"/>
  <c r="H101" i="10"/>
  <c r="H100" i="10"/>
  <c r="H96" i="10"/>
  <c r="I92" i="10"/>
  <c r="I89" i="10"/>
  <c r="I85" i="10"/>
  <c r="I72" i="10"/>
  <c r="I63" i="10"/>
  <c r="I59" i="10"/>
  <c r="I51" i="10"/>
  <c r="I43" i="10"/>
  <c r="I33" i="10"/>
  <c r="H17" i="10"/>
  <c r="I3" i="10"/>
  <c r="I2" i="10"/>
  <c r="K117" i="10" l="1"/>
  <c r="M117" i="10"/>
  <c r="M33" i="10"/>
  <c r="K33" i="10"/>
  <c r="K126" i="10"/>
  <c r="M126" i="10"/>
  <c r="M41" i="10"/>
  <c r="K41" i="10"/>
  <c r="K127" i="10"/>
  <c r="M127" i="10"/>
  <c r="M36" i="10"/>
  <c r="K36" i="10"/>
  <c r="K162" i="10"/>
  <c r="M162" i="10"/>
  <c r="K161" i="10"/>
  <c r="M161" i="10"/>
  <c r="K121" i="10"/>
  <c r="M121" i="10"/>
  <c r="K81" i="10"/>
  <c r="M81" i="10"/>
  <c r="K85" i="10"/>
  <c r="M85" i="10"/>
  <c r="M34" i="10"/>
  <c r="K34" i="10"/>
  <c r="K77" i="10"/>
  <c r="M77" i="10"/>
  <c r="M30" i="10"/>
  <c r="K30" i="10"/>
  <c r="K105" i="10"/>
  <c r="M105" i="10"/>
  <c r="M73" i="10"/>
  <c r="K73" i="10"/>
  <c r="K115" i="10"/>
  <c r="M115" i="10"/>
  <c r="K131" i="10"/>
  <c r="M131" i="10"/>
  <c r="M32" i="10"/>
  <c r="K32" i="10"/>
  <c r="K91" i="10"/>
  <c r="M91" i="10"/>
  <c r="K124" i="10"/>
  <c r="M124" i="10"/>
  <c r="K134" i="10"/>
  <c r="M134" i="10"/>
  <c r="M37" i="10"/>
  <c r="K37" i="10"/>
  <c r="K89" i="10"/>
  <c r="M89" i="10"/>
  <c r="K158" i="10"/>
  <c r="M158" i="10"/>
  <c r="K61" i="10"/>
  <c r="M61" i="10"/>
  <c r="K57" i="10"/>
  <c r="M57" i="10"/>
  <c r="M52" i="10"/>
  <c r="K52" i="10"/>
  <c r="K65" i="10"/>
  <c r="M65" i="10"/>
  <c r="M21" i="10"/>
  <c r="K21" i="10"/>
  <c r="K22" i="10"/>
  <c r="M22" i="10"/>
  <c r="K26" i="10"/>
  <c r="M26" i="10"/>
  <c r="K49" i="10"/>
  <c r="M49" i="10"/>
  <c r="K45" i="10"/>
  <c r="M45" i="10"/>
  <c r="K151" i="10"/>
  <c r="M151" i="10"/>
  <c r="K147" i="10"/>
  <c r="M147" i="10"/>
  <c r="K155" i="10"/>
  <c r="M155" i="10"/>
  <c r="K143" i="10"/>
  <c r="M143" i="10"/>
  <c r="K150" i="10"/>
  <c r="M150" i="10"/>
  <c r="K10" i="10"/>
  <c r="M10" i="10"/>
  <c r="K13" i="10"/>
  <c r="M13" i="10"/>
  <c r="K18" i="10"/>
  <c r="M18" i="10"/>
  <c r="K142" i="10"/>
  <c r="K164" i="10"/>
  <c r="J156" i="10"/>
  <c r="M156" i="10" s="1"/>
  <c r="D30" i="10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53" i="10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H36" i="10"/>
  <c r="H59" i="10"/>
  <c r="I52" i="10"/>
  <c r="H13" i="10"/>
  <c r="I13" i="10"/>
  <c r="H43" i="10"/>
  <c r="H153" i="10"/>
  <c r="H51" i="10"/>
  <c r="H160" i="10"/>
  <c r="I160" i="10"/>
  <c r="I168" i="10"/>
  <c r="H168" i="10"/>
  <c r="J4" i="10"/>
  <c r="M4" i="10" s="1"/>
  <c r="C4" i="10"/>
  <c r="J87" i="10"/>
  <c r="I87" i="10"/>
  <c r="I8" i="10"/>
  <c r="H8" i="10"/>
  <c r="J20" i="10"/>
  <c r="M20" i="10" s="1"/>
  <c r="I20" i="10"/>
  <c r="H186" i="10"/>
  <c r="J146" i="10"/>
  <c r="M146" i="10" s="1"/>
  <c r="I146" i="10"/>
  <c r="H146" i="10"/>
  <c r="I103" i="10"/>
  <c r="H169" i="10"/>
  <c r="H24" i="10"/>
  <c r="H32" i="10"/>
  <c r="I115" i="10"/>
  <c r="H137" i="10"/>
  <c r="J137" i="10"/>
  <c r="C52" i="10"/>
  <c r="H95" i="10"/>
  <c r="J139" i="10"/>
  <c r="H185" i="10"/>
  <c r="H63" i="10"/>
  <c r="H176" i="10"/>
  <c r="H40" i="10"/>
  <c r="H193" i="10"/>
  <c r="H94" i="10"/>
  <c r="J129" i="10"/>
  <c r="I129" i="10"/>
  <c r="J109" i="10"/>
  <c r="M109" i="10" s="1"/>
  <c r="H109" i="10"/>
  <c r="J154" i="10"/>
  <c r="M154" i="10" s="1"/>
  <c r="I154" i="10"/>
  <c r="H4" i="10"/>
  <c r="J12" i="10"/>
  <c r="C12" i="10"/>
  <c r="I12" i="10"/>
  <c r="C80" i="10"/>
  <c r="I80" i="10"/>
  <c r="H90" i="10"/>
  <c r="J113" i="10"/>
  <c r="M113" i="10" s="1"/>
  <c r="I113" i="10"/>
  <c r="I143" i="10"/>
  <c r="I15" i="10"/>
  <c r="C64" i="10"/>
  <c r="I64" i="10"/>
  <c r="H29" i="10"/>
  <c r="I55" i="10"/>
  <c r="C84" i="10"/>
  <c r="I84" i="10"/>
  <c r="J138" i="10"/>
  <c r="M138" i="10" s="1"/>
  <c r="H138" i="10"/>
  <c r="I138" i="10"/>
  <c r="J123" i="10"/>
  <c r="M123" i="10" s="1"/>
  <c r="J5" i="10"/>
  <c r="M5" i="10" s="1"/>
  <c r="I5" i="10"/>
  <c r="H5" i="10"/>
  <c r="C88" i="10"/>
  <c r="I88" i="10"/>
  <c r="H99" i="10"/>
  <c r="J135" i="10"/>
  <c r="M135" i="10" s="1"/>
  <c r="I135" i="10"/>
  <c r="I163" i="10"/>
  <c r="J71" i="10"/>
  <c r="H71" i="10"/>
  <c r="J44" i="10"/>
  <c r="C44" i="10"/>
  <c r="I44" i="10"/>
  <c r="H46" i="10"/>
  <c r="I46" i="10"/>
  <c r="I75" i="10"/>
  <c r="J93" i="10"/>
  <c r="M93" i="10" s="1"/>
  <c r="H129" i="10"/>
  <c r="H34" i="10"/>
  <c r="I34" i="10"/>
  <c r="I71" i="10"/>
  <c r="J29" i="10"/>
  <c r="J103" i="10"/>
  <c r="M103" i="10" s="1"/>
  <c r="C103" i="10"/>
  <c r="H132" i="10"/>
  <c r="J132" i="10"/>
  <c r="M132" i="10" s="1"/>
  <c r="H191" i="10"/>
  <c r="I191" i="10"/>
  <c r="I109" i="10"/>
  <c r="I67" i="10"/>
  <c r="H67" i="10"/>
  <c r="J67" i="10"/>
  <c r="H70" i="10"/>
  <c r="H78" i="10"/>
  <c r="H20" i="10"/>
  <c r="H121" i="10"/>
  <c r="I170" i="10"/>
  <c r="H9" i="10"/>
  <c r="I45" i="10"/>
  <c r="H79" i="10"/>
  <c r="I100" i="10"/>
  <c r="H91" i="10"/>
  <c r="H154" i="10"/>
  <c r="H170" i="10"/>
  <c r="I56" i="10"/>
  <c r="C20" i="10"/>
  <c r="C48" i="10"/>
  <c r="C91" i="10"/>
  <c r="I127" i="10"/>
  <c r="I147" i="10"/>
  <c r="J79" i="10"/>
  <c r="M79" i="10" s="1"/>
  <c r="H115" i="10"/>
  <c r="J16" i="10"/>
  <c r="M16" i="10" s="1"/>
  <c r="H16" i="10"/>
  <c r="C32" i="10"/>
  <c r="J40" i="10"/>
  <c r="C40" i="10"/>
  <c r="C75" i="10"/>
  <c r="C87" i="10"/>
  <c r="C92" i="10"/>
  <c r="J95" i="10"/>
  <c r="M95" i="10" s="1"/>
  <c r="J101" i="10"/>
  <c r="I145" i="10"/>
  <c r="J148" i="10"/>
  <c r="M148" i="10" s="1"/>
  <c r="I16" i="10"/>
  <c r="I41" i="10"/>
  <c r="I60" i="10"/>
  <c r="I68" i="10"/>
  <c r="H140" i="10"/>
  <c r="J6" i="10"/>
  <c r="M6" i="10" s="1"/>
  <c r="C16" i="10"/>
  <c r="C47" i="10"/>
  <c r="J75" i="10"/>
  <c r="M75" i="10" s="1"/>
  <c r="C95" i="10"/>
  <c r="J99" i="10"/>
  <c r="M99" i="10" s="1"/>
  <c r="I99" i="10"/>
  <c r="J111" i="10"/>
  <c r="M111" i="10" s="1"/>
  <c r="J119" i="10"/>
  <c r="M119" i="10" s="1"/>
  <c r="J145" i="10"/>
  <c r="H152" i="10"/>
  <c r="H177" i="10"/>
  <c r="H21" i="10"/>
  <c r="C83" i="10"/>
  <c r="C96" i="10"/>
  <c r="J9" i="10"/>
  <c r="M9" i="10" s="1"/>
  <c r="I9" i="10"/>
  <c r="C28" i="10"/>
  <c r="H28" i="10"/>
  <c r="H42" i="10"/>
  <c r="H75" i="10"/>
  <c r="H83" i="10"/>
  <c r="J24" i="10"/>
  <c r="C24" i="10"/>
  <c r="J69" i="10"/>
  <c r="I69" i="10"/>
  <c r="C71" i="10"/>
  <c r="C76" i="10"/>
  <c r="I21" i="10"/>
  <c r="H35" i="10"/>
  <c r="H47" i="10"/>
  <c r="I83" i="10"/>
  <c r="H148" i="10"/>
  <c r="J14" i="10"/>
  <c r="M14" i="10" s="1"/>
  <c r="J17" i="10"/>
  <c r="M17" i="10" s="1"/>
  <c r="H74" i="10"/>
  <c r="J83" i="10"/>
  <c r="M83" i="10" s="1"/>
  <c r="J153" i="10"/>
  <c r="M153" i="10" s="1"/>
  <c r="I61" i="10"/>
  <c r="H12" i="10"/>
  <c r="I35" i="10"/>
  <c r="I76" i="10"/>
  <c r="I131" i="10"/>
  <c r="C36" i="10"/>
  <c r="C79" i="10"/>
  <c r="J97" i="10"/>
  <c r="M97" i="10" s="1"/>
  <c r="J130" i="10"/>
  <c r="M130" i="10" s="1"/>
  <c r="I130" i="10"/>
  <c r="J140" i="10"/>
  <c r="M140" i="10" s="1"/>
  <c r="J159" i="10"/>
  <c r="M159" i="10" s="1"/>
  <c r="J8" i="10"/>
  <c r="M8" i="10" s="1"/>
  <c r="C8" i="10"/>
  <c r="J25" i="10"/>
  <c r="H25" i="10"/>
  <c r="J53" i="10"/>
  <c r="I123" i="10"/>
  <c r="H162" i="10"/>
  <c r="I169" i="10"/>
  <c r="J107" i="10"/>
  <c r="M107" i="10" s="1"/>
  <c r="C107" i="10"/>
  <c r="H107" i="10"/>
  <c r="J98" i="10"/>
  <c r="M98" i="10" s="1"/>
  <c r="C98" i="10"/>
  <c r="J66" i="10"/>
  <c r="C66" i="10"/>
  <c r="J82" i="10"/>
  <c r="M82" i="10" s="1"/>
  <c r="C82" i="10"/>
  <c r="D5" i="10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J3" i="10"/>
  <c r="M3" i="10" s="1"/>
  <c r="J7" i="10"/>
  <c r="M7" i="10" s="1"/>
  <c r="J11" i="10"/>
  <c r="M11" i="10" s="1"/>
  <c r="J15" i="10"/>
  <c r="M15" i="10" s="1"/>
  <c r="J19" i="10"/>
  <c r="M19" i="10" s="1"/>
  <c r="J23" i="10"/>
  <c r="J27" i="10"/>
  <c r="J31" i="10"/>
  <c r="J35" i="10"/>
  <c r="C39" i="10"/>
  <c r="J46" i="10"/>
  <c r="C46" i="10"/>
  <c r="C106" i="10"/>
  <c r="J118" i="10"/>
  <c r="M118" i="10" s="1"/>
  <c r="H118" i="10"/>
  <c r="J50" i="10"/>
  <c r="C50" i="10"/>
  <c r="J42" i="10"/>
  <c r="C42" i="10"/>
  <c r="J78" i="10"/>
  <c r="M78" i="10" s="1"/>
  <c r="C78" i="10"/>
  <c r="J94" i="10"/>
  <c r="M94" i="10" s="1"/>
  <c r="C94" i="10"/>
  <c r="J125" i="10"/>
  <c r="M125" i="10" s="1"/>
  <c r="J141" i="10"/>
  <c r="M141" i="10" s="1"/>
  <c r="D158" i="10"/>
  <c r="J157" i="10"/>
  <c r="M157" i="10" s="1"/>
  <c r="H39" i="10"/>
  <c r="C3" i="10"/>
  <c r="C7" i="10"/>
  <c r="C11" i="10"/>
  <c r="C15" i="10"/>
  <c r="C19" i="10"/>
  <c r="C23" i="10"/>
  <c r="C27" i="10"/>
  <c r="C31" i="10"/>
  <c r="C35" i="10"/>
  <c r="J62" i="10"/>
  <c r="C62" i="10"/>
  <c r="J114" i="10"/>
  <c r="M114" i="10" s="1"/>
  <c r="H114" i="10"/>
  <c r="H50" i="10"/>
  <c r="J38" i="10"/>
  <c r="C38" i="10"/>
  <c r="J47" i="10"/>
  <c r="C51" i="10"/>
  <c r="J74" i="10"/>
  <c r="C74" i="10"/>
  <c r="J102" i="10"/>
  <c r="M102" i="10" s="1"/>
  <c r="C102" i="10"/>
  <c r="J54" i="10"/>
  <c r="C54" i="10"/>
  <c r="H54" i="10"/>
  <c r="C2" i="10"/>
  <c r="C6" i="10"/>
  <c r="C10" i="10"/>
  <c r="C14" i="10"/>
  <c r="C18" i="10"/>
  <c r="C22" i="10"/>
  <c r="C26" i="10"/>
  <c r="C30" i="10"/>
  <c r="C34" i="10"/>
  <c r="J43" i="10"/>
  <c r="J58" i="10"/>
  <c r="C58" i="10"/>
  <c r="J90" i="10"/>
  <c r="M90" i="10" s="1"/>
  <c r="C90" i="10"/>
  <c r="J39" i="10"/>
  <c r="J70" i="10"/>
  <c r="C70" i="10"/>
  <c r="J86" i="10"/>
  <c r="M86" i="10" s="1"/>
  <c r="C86" i="10"/>
  <c r="J110" i="10"/>
  <c r="M110" i="10" s="1"/>
  <c r="H110" i="10"/>
  <c r="H122" i="10"/>
  <c r="J122" i="10"/>
  <c r="J133" i="10"/>
  <c r="M133" i="10" s="1"/>
  <c r="J149" i="10"/>
  <c r="M149" i="10" s="1"/>
  <c r="J48" i="10"/>
  <c r="J56" i="10"/>
  <c r="J60" i="10"/>
  <c r="J64" i="10"/>
  <c r="J68" i="10"/>
  <c r="J72" i="10"/>
  <c r="J76" i="10"/>
  <c r="M76" i="10" s="1"/>
  <c r="J80" i="10"/>
  <c r="M80" i="10" s="1"/>
  <c r="J84" i="10"/>
  <c r="M84" i="10" s="1"/>
  <c r="J88" i="10"/>
  <c r="M88" i="10" s="1"/>
  <c r="J92" i="10"/>
  <c r="M92" i="10" s="1"/>
  <c r="J96" i="10"/>
  <c r="J100" i="10"/>
  <c r="M100" i="10" s="1"/>
  <c r="J104" i="10"/>
  <c r="M104" i="10" s="1"/>
  <c r="J108" i="10"/>
  <c r="J112" i="10"/>
  <c r="M112" i="10" s="1"/>
  <c r="J116" i="10"/>
  <c r="M116" i="10" s="1"/>
  <c r="J120" i="10"/>
  <c r="M120" i="10" s="1"/>
  <c r="D181" i="10"/>
  <c r="J55" i="10"/>
  <c r="J59" i="10"/>
  <c r="J63" i="10"/>
  <c r="J128" i="10"/>
  <c r="M128" i="10" s="1"/>
  <c r="J136" i="10"/>
  <c r="M136" i="10" s="1"/>
  <c r="J144" i="10"/>
  <c r="M144" i="10" s="1"/>
  <c r="J152" i="10"/>
  <c r="M152" i="10" s="1"/>
  <c r="J160" i="10"/>
  <c r="M160" i="10" s="1"/>
  <c r="C5" i="10"/>
  <c r="C9" i="10"/>
  <c r="C13" i="10"/>
  <c r="C17" i="10"/>
  <c r="C21" i="10"/>
  <c r="C25" i="10"/>
  <c r="C29" i="10"/>
  <c r="C33" i="10"/>
  <c r="C37" i="10"/>
  <c r="C41" i="10"/>
  <c r="C45" i="10"/>
  <c r="C49" i="10"/>
  <c r="C53" i="10"/>
  <c r="C57" i="10"/>
  <c r="C61" i="10"/>
  <c r="C65" i="10"/>
  <c r="C69" i="10"/>
  <c r="C73" i="10"/>
  <c r="C77" i="10"/>
  <c r="C81" i="10"/>
  <c r="C85" i="10"/>
  <c r="C89" i="10"/>
  <c r="C93" i="10"/>
  <c r="C97" i="10"/>
  <c r="C101" i="10"/>
  <c r="C105" i="10"/>
  <c r="I24" i="10"/>
  <c r="I28" i="10"/>
  <c r="H65" i="10"/>
  <c r="H77" i="10"/>
  <c r="I102" i="10"/>
  <c r="H102" i="10"/>
  <c r="I105" i="10"/>
  <c r="H105" i="10"/>
  <c r="I36" i="10"/>
  <c r="H37" i="10"/>
  <c r="I49" i="10"/>
  <c r="I54" i="10"/>
  <c r="H58" i="10"/>
  <c r="I62" i="10"/>
  <c r="H66" i="10"/>
  <c r="I70" i="10"/>
  <c r="I73" i="10"/>
  <c r="H82" i="10"/>
  <c r="I93" i="10"/>
  <c r="I98" i="10"/>
  <c r="H98" i="10"/>
  <c r="H81" i="10"/>
  <c r="H2" i="10"/>
  <c r="E3" i="10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H6" i="10"/>
  <c r="H10" i="10"/>
  <c r="H14" i="10"/>
  <c r="H18" i="10"/>
  <c r="H22" i="10"/>
  <c r="H26" i="10"/>
  <c r="H30" i="10"/>
  <c r="I37" i="10"/>
  <c r="H38" i="10"/>
  <c r="H53" i="10"/>
  <c r="H85" i="10"/>
  <c r="I90" i="10"/>
  <c r="I82" i="10"/>
  <c r="I6" i="10"/>
  <c r="I10" i="10"/>
  <c r="I14" i="10"/>
  <c r="I18" i="10"/>
  <c r="I22" i="10"/>
  <c r="I26" i="10"/>
  <c r="I30" i="10"/>
  <c r="I38" i="10"/>
  <c r="H44" i="10"/>
  <c r="H45" i="10"/>
  <c r="I50" i="10"/>
  <c r="I57" i="10"/>
  <c r="H61" i="10"/>
  <c r="I65" i="10"/>
  <c r="H69" i="10"/>
  <c r="I74" i="10"/>
  <c r="I77" i="10"/>
  <c r="H86" i="10"/>
  <c r="I94" i="10"/>
  <c r="I106" i="10"/>
  <c r="H106" i="10"/>
  <c r="H3" i="10"/>
  <c r="H11" i="10"/>
  <c r="H15" i="10"/>
  <c r="H19" i="10"/>
  <c r="H23" i="10"/>
  <c r="H27" i="10"/>
  <c r="H31" i="10"/>
  <c r="H49" i="10"/>
  <c r="H55" i="10"/>
  <c r="I81" i="10"/>
  <c r="H89" i="10"/>
  <c r="H57" i="10"/>
  <c r="I86" i="10"/>
  <c r="H7" i="10"/>
  <c r="I31" i="10"/>
  <c r="I32" i="10"/>
  <c r="H33" i="10"/>
  <c r="I40" i="10"/>
  <c r="H41" i="10"/>
  <c r="I58" i="10"/>
  <c r="I66" i="10"/>
  <c r="H73" i="10"/>
  <c r="I78" i="10"/>
  <c r="H93" i="10"/>
  <c r="I104" i="10"/>
  <c r="H104" i="10"/>
  <c r="I142" i="10"/>
  <c r="H142" i="10"/>
  <c r="I166" i="10"/>
  <c r="H166" i="10"/>
  <c r="I190" i="10"/>
  <c r="H190" i="10"/>
  <c r="I91" i="10"/>
  <c r="I95" i="10"/>
  <c r="I96" i="10"/>
  <c r="H97" i="10"/>
  <c r="H48" i="10"/>
  <c r="H52" i="10"/>
  <c r="H56" i="10"/>
  <c r="H60" i="10"/>
  <c r="H64" i="10"/>
  <c r="H68" i="10"/>
  <c r="H72" i="10"/>
  <c r="H76" i="10"/>
  <c r="H80" i="10"/>
  <c r="H84" i="10"/>
  <c r="H88" i="10"/>
  <c r="H92" i="10"/>
  <c r="H117" i="10"/>
  <c r="I134" i="10"/>
  <c r="H134" i="10"/>
  <c r="I108" i="10"/>
  <c r="H108" i="10"/>
  <c r="H113" i="10"/>
  <c r="I158" i="10"/>
  <c r="H158" i="10"/>
  <c r="I174" i="10"/>
  <c r="H174" i="10"/>
  <c r="I126" i="10"/>
  <c r="H126" i="10"/>
  <c r="I150" i="10"/>
  <c r="H150" i="10"/>
  <c r="I182" i="10"/>
  <c r="H182" i="10"/>
  <c r="I193" i="10"/>
  <c r="H194" i="10"/>
  <c r="I110" i="10"/>
  <c r="I114" i="10"/>
  <c r="I118" i="10"/>
  <c r="I122" i="10"/>
  <c r="H123" i="10"/>
  <c r="H131" i="10"/>
  <c r="H139" i="10"/>
  <c r="H147" i="10"/>
  <c r="H155" i="10"/>
  <c r="H163" i="10"/>
  <c r="H171" i="10"/>
  <c r="I178" i="10"/>
  <c r="H179" i="10"/>
  <c r="I186" i="10"/>
  <c r="H187" i="10"/>
  <c r="I194" i="10"/>
  <c r="H195" i="10"/>
  <c r="H164" i="10"/>
  <c r="H172" i="10"/>
  <c r="I179" i="10"/>
  <c r="H180" i="10"/>
  <c r="I187" i="10"/>
  <c r="H188" i="10"/>
  <c r="I195" i="10"/>
  <c r="H196" i="10"/>
  <c r="I119" i="10"/>
  <c r="I124" i="10"/>
  <c r="H125" i="10"/>
  <c r="I132" i="10"/>
  <c r="H133" i="10"/>
  <c r="I140" i="10"/>
  <c r="H141" i="10"/>
  <c r="I148" i="10"/>
  <c r="H149" i="10"/>
  <c r="I156" i="10"/>
  <c r="H157" i="10"/>
  <c r="I164" i="10"/>
  <c r="H165" i="10"/>
  <c r="I172" i="10"/>
  <c r="H173" i="10"/>
  <c r="I180" i="10"/>
  <c r="H181" i="10"/>
  <c r="I188" i="10"/>
  <c r="H189" i="10"/>
  <c r="I196" i="10"/>
  <c r="H112" i="10"/>
  <c r="H116" i="10"/>
  <c r="H120" i="10"/>
  <c r="I125" i="10"/>
  <c r="I133" i="10"/>
  <c r="I141" i="10"/>
  <c r="I149" i="10"/>
  <c r="I157" i="10"/>
  <c r="I165" i="10"/>
  <c r="I173" i="10"/>
  <c r="I181" i="10"/>
  <c r="I189" i="10"/>
  <c r="I112" i="10"/>
  <c r="I116" i="10"/>
  <c r="I120" i="10"/>
  <c r="H127" i="10"/>
  <c r="H135" i="10"/>
  <c r="H143" i="10"/>
  <c r="H151" i="10"/>
  <c r="H159" i="10"/>
  <c r="H167" i="10"/>
  <c r="H175" i="10"/>
  <c r="H183" i="10"/>
  <c r="M71" i="10" l="1"/>
  <c r="K71" i="10"/>
  <c r="M70" i="10"/>
  <c r="K70" i="10"/>
  <c r="M69" i="10"/>
  <c r="K69" i="10"/>
  <c r="K87" i="10"/>
  <c r="M87" i="10"/>
  <c r="M39" i="10"/>
  <c r="K39" i="10"/>
  <c r="M35" i="10"/>
  <c r="K35" i="10"/>
  <c r="M67" i="10"/>
  <c r="K67" i="10"/>
  <c r="K137" i="10"/>
  <c r="M137" i="10"/>
  <c r="M38" i="10"/>
  <c r="K38" i="10"/>
  <c r="M31" i="10"/>
  <c r="K31" i="10"/>
  <c r="K122" i="10"/>
  <c r="M122" i="10"/>
  <c r="K139" i="10"/>
  <c r="M139" i="10"/>
  <c r="M43" i="10"/>
  <c r="K43" i="10"/>
  <c r="M42" i="10"/>
  <c r="K42" i="10"/>
  <c r="M29" i="10"/>
  <c r="K29" i="10"/>
  <c r="M72" i="10"/>
  <c r="K72" i="10"/>
  <c r="M68" i="10"/>
  <c r="K68" i="10"/>
  <c r="K101" i="10"/>
  <c r="M101" i="10"/>
  <c r="K96" i="10"/>
  <c r="M96" i="10"/>
  <c r="M40" i="10"/>
  <c r="K40" i="10"/>
  <c r="K129" i="10"/>
  <c r="M129" i="10"/>
  <c r="K60" i="10"/>
  <c r="M60" i="10"/>
  <c r="K56" i="10"/>
  <c r="M56" i="10"/>
  <c r="K63" i="10"/>
  <c r="M63" i="10"/>
  <c r="K59" i="10"/>
  <c r="M59" i="10"/>
  <c r="K62" i="10"/>
  <c r="M62" i="10"/>
  <c r="K55" i="10"/>
  <c r="M55" i="10"/>
  <c r="K54" i="10"/>
  <c r="M54" i="10"/>
  <c r="K64" i="10"/>
  <c r="M64" i="10"/>
  <c r="K66" i="10"/>
  <c r="M66" i="10"/>
  <c r="K53" i="10"/>
  <c r="M53" i="10"/>
  <c r="K58" i="10"/>
  <c r="M58" i="10"/>
  <c r="K27" i="10"/>
  <c r="M27" i="10"/>
  <c r="K23" i="10"/>
  <c r="M23" i="10"/>
  <c r="K24" i="10"/>
  <c r="M24" i="10"/>
  <c r="K25" i="10"/>
  <c r="M25" i="10"/>
  <c r="K50" i="10"/>
  <c r="M50" i="10"/>
  <c r="M44" i="10"/>
  <c r="K44" i="10"/>
  <c r="K48" i="10"/>
  <c r="M48" i="10"/>
  <c r="K46" i="10"/>
  <c r="M46" i="10"/>
  <c r="K47" i="10"/>
  <c r="M47" i="10"/>
  <c r="K145" i="10"/>
  <c r="M145" i="10"/>
  <c r="K12" i="10"/>
  <c r="M12" i="10"/>
  <c r="K8" i="10"/>
  <c r="K14" i="10"/>
  <c r="K6" i="10"/>
  <c r="K19" i="10"/>
  <c r="K20" i="10"/>
  <c r="K15" i="10"/>
  <c r="K11" i="10"/>
  <c r="K16" i="10"/>
  <c r="K7" i="10"/>
  <c r="K17" i="10"/>
  <c r="K9" i="10"/>
  <c r="K5" i="10"/>
  <c r="K3" i="10"/>
  <c r="K4" i="10"/>
  <c r="K160" i="10"/>
  <c r="K159" i="10"/>
  <c r="K163" i="10"/>
  <c r="K88" i="10"/>
  <c r="K82" i="10"/>
  <c r="K99" i="10"/>
  <c r="K84" i="10"/>
  <c r="K95" i="10"/>
  <c r="K80" i="10"/>
  <c r="K90" i="10"/>
  <c r="K98" i="10"/>
  <c r="K75" i="10"/>
  <c r="K97" i="10"/>
  <c r="K100" i="10"/>
  <c r="K94" i="10"/>
  <c r="K83" i="10"/>
  <c r="K93" i="10"/>
  <c r="K76" i="10"/>
  <c r="K92" i="10"/>
  <c r="K86" i="10"/>
  <c r="K78" i="10"/>
  <c r="K79" i="10"/>
  <c r="K74" i="10"/>
  <c r="K107" i="10"/>
  <c r="K102" i="10"/>
  <c r="K104" i="10"/>
  <c r="K103" i="10"/>
  <c r="K128" i="10"/>
  <c r="K116" i="10"/>
  <c r="K112" i="10"/>
  <c r="K114" i="10"/>
  <c r="K130" i="10"/>
  <c r="K119" i="10"/>
  <c r="K125" i="10"/>
  <c r="K109" i="10"/>
  <c r="K110" i="10"/>
  <c r="K111" i="10"/>
  <c r="K123" i="10"/>
  <c r="K120" i="10"/>
  <c r="K113" i="10"/>
  <c r="K133" i="10"/>
  <c r="K132" i="10"/>
  <c r="K118" i="10"/>
  <c r="K140" i="10"/>
  <c r="K135" i="10"/>
  <c r="K138" i="10"/>
  <c r="K141" i="10"/>
  <c r="K108" i="10"/>
  <c r="K136" i="10"/>
  <c r="K157" i="10"/>
  <c r="K154" i="10"/>
  <c r="K146" i="10"/>
  <c r="K153" i="10"/>
  <c r="K152" i="10"/>
  <c r="K149" i="10"/>
  <c r="K148" i="10"/>
  <c r="K156" i="10"/>
  <c r="K144" i="10"/>
  <c r="D81" i="10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11" i="10" s="1"/>
  <c r="D112" i="10" s="1"/>
  <c r="D113" i="10" s="1"/>
  <c r="D114" i="10" s="1"/>
  <c r="D45" i="10"/>
  <c r="D46" i="10" s="1"/>
  <c r="D47" i="10" s="1"/>
  <c r="D48" i="10" s="1"/>
  <c r="D49" i="10" s="1"/>
  <c r="D50" i="10" s="1"/>
  <c r="D51" i="10" s="1"/>
  <c r="D22" i="10"/>
  <c r="D23" i="10" s="1"/>
  <c r="D24" i="10" s="1"/>
  <c r="D25" i="10" s="1"/>
  <c r="D26" i="10" s="1"/>
  <c r="D27" i="10" s="1"/>
  <c r="D28" i="10" s="1"/>
  <c r="E19" i="10"/>
  <c r="E20" i="10" s="1"/>
  <c r="E21" i="10" s="1"/>
  <c r="E22" i="10" s="1"/>
  <c r="E23" i="10" s="1"/>
  <c r="E24" i="10" s="1"/>
  <c r="E25" i="10" s="1"/>
  <c r="E26" i="10" s="1"/>
  <c r="D115" i="10" l="1"/>
  <c r="D116" i="10" s="1"/>
  <c r="D117" i="10" s="1"/>
  <c r="D118" i="10" s="1"/>
  <c r="D119" i="10" s="1"/>
  <c r="D120" i="10" s="1"/>
  <c r="D121" i="10" s="1"/>
  <c r="D122" i="10" s="1"/>
  <c r="D123" i="10" s="1"/>
  <c r="D124" i="10" s="1"/>
  <c r="D125" i="10" s="1"/>
  <c r="D126" i="10" s="1"/>
  <c r="D127" i="10" s="1"/>
  <c r="D128" i="10" s="1"/>
  <c r="D129" i="10" s="1"/>
  <c r="D130" i="10" s="1"/>
  <c r="D131" i="10" s="1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E27" i="10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D149" i="10" l="1"/>
  <c r="D150" i="10" s="1"/>
  <c r="D151" i="10" s="1"/>
  <c r="D152" i="10" s="1"/>
  <c r="D153" i="10" s="1"/>
  <c r="D154" i="10" s="1"/>
  <c r="D155" i="10" s="1"/>
  <c r="D156" i="10" s="1"/>
  <c r="D157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E42" i="10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D172" i="10" l="1"/>
  <c r="D173" i="10" s="1"/>
  <c r="D174" i="10" s="1"/>
  <c r="D175" i="10" s="1"/>
  <c r="D176" i="10" s="1"/>
  <c r="D177" i="10" s="1"/>
  <c r="D178" i="10" s="1"/>
  <c r="D179" i="10" s="1"/>
  <c r="D180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E53" i="10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D195" i="10" l="1"/>
  <c r="D196" i="10" s="1"/>
  <c r="E73" i="10"/>
  <c r="E74" i="10" s="1"/>
  <c r="E75" i="10" s="1"/>
  <c r="E76" i="10" s="1"/>
  <c r="E77" i="10" s="1"/>
  <c r="E78" i="10" s="1"/>
  <c r="E79" i="10" s="1"/>
  <c r="E80" i="10" l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l="1"/>
  <c r="E109" i="10" s="1"/>
  <c r="E110" i="10" s="1"/>
  <c r="E111" i="10" s="1"/>
  <c r="E112" i="10" s="1"/>
  <c r="E113" i="10" s="1"/>
  <c r="E114" i="10" s="1"/>
  <c r="E115" i="10" l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l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l="1"/>
  <c r="E149" i="10" s="1"/>
  <c r="E150" i="10" s="1"/>
  <c r="E151" i="10" s="1"/>
  <c r="E152" i="10" l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l="1"/>
  <c r="E168" i="10" s="1"/>
  <c r="E169" i="10" s="1"/>
  <c r="E170" i="10" s="1"/>
  <c r="E171" i="10" s="1"/>
  <c r="E172" i="10" s="1"/>
  <c r="E173" i="10" s="1"/>
  <c r="E174" i="10" s="1"/>
  <c r="E175" i="10" l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l="1"/>
  <c r="E191" i="10" s="1"/>
  <c r="E192" i="10" s="1"/>
  <c r="E193" i="10" s="1"/>
  <c r="E194" i="10" s="1"/>
  <c r="E195" i="10" s="1"/>
  <c r="E196" i="10" s="1"/>
  <c r="J106" i="10" l="1"/>
  <c r="M106" i="10" s="1"/>
  <c r="K106" i="10" l="1"/>
</calcChain>
</file>

<file path=xl/sharedStrings.xml><?xml version="1.0" encoding="utf-8"?>
<sst xmlns="http://schemas.openxmlformats.org/spreadsheetml/2006/main" count="218" uniqueCount="172">
  <si>
    <t>Kunde</t>
  </si>
  <si>
    <t>Gesamt</t>
  </si>
  <si>
    <t>Projekt</t>
  </si>
  <si>
    <t>h</t>
  </si>
  <si>
    <t>Stck</t>
  </si>
  <si>
    <t>Summe Personenstunden</t>
  </si>
  <si>
    <t>Summe Entwicklungs- u. Industrialisierungsleistungen</t>
  </si>
  <si>
    <t>Summe Einzelkosten</t>
  </si>
  <si>
    <t>AP</t>
  </si>
  <si>
    <t>STEPS</t>
  </si>
  <si>
    <t>PM</t>
  </si>
  <si>
    <t>Team Meetings</t>
  </si>
  <si>
    <t xml:space="preserve">Bootloader (Update via ModBus) </t>
  </si>
  <si>
    <t>ModBus</t>
  </si>
  <si>
    <t>Software Evaluation Kits</t>
  </si>
  <si>
    <t>3.1</t>
  </si>
  <si>
    <t>3.2</t>
  </si>
  <si>
    <t>4.1</t>
  </si>
  <si>
    <t>4.2</t>
  </si>
  <si>
    <t>Delete</t>
  </si>
  <si>
    <t>Epic Name</t>
  </si>
  <si>
    <t>Epic Color</t>
  </si>
  <si>
    <t>Epic Link</t>
  </si>
  <si>
    <t>PrkzZm</t>
  </si>
  <si>
    <t>Service</t>
  </si>
  <si>
    <t>Scheduling and scheduling</t>
  </si>
  <si>
    <t>Cost planning and controlling</t>
  </si>
  <si>
    <t>Project reporting (external)</t>
  </si>
  <si>
    <t>Regular telephone conferences with service providers</t>
  </si>
  <si>
    <t>Regular customer visits</t>
  </si>
  <si>
    <t>Change management in the development process</t>
  </si>
  <si>
    <t>Risk management</t>
  </si>
  <si>
    <t>M0: Project Release</t>
  </si>
  <si>
    <t>M1: Detailed concept and system design</t>
  </si>
  <si>
    <t>M2: Concept design confirmed</t>
  </si>
  <si>
    <t>M3.1: B0 sample phase completed</t>
  </si>
  <si>
    <t>M3.2: B1 pattern completed</t>
  </si>
  <si>
    <t>M3: Product Released</t>
  </si>
  <si>
    <t>M4: Industrialization completed</t>
  </si>
  <si>
    <t>M5: Product and Process Handed Over</t>
  </si>
  <si>
    <t>Organization</t>
  </si>
  <si>
    <t>Individual costs and external services</t>
  </si>
  <si>
    <t>Familiarization with product functions / data</t>
  </si>
  <si>
    <t>CONSENS - Environment Analysis</t>
  </si>
  <si>
    <t>CONSENS - Active Structure</t>
  </si>
  <si>
    <t>CONSENS - Creation and evaluation of the requirements tracking list</t>
  </si>
  <si>
    <t>Induction, analysis of standards / guidelines</t>
  </si>
  <si>
    <t>Creation of detailed concept - hardware (incl. microcontroller)</t>
  </si>
  <si>
    <t>Creation of detailed concept - software (incl. ModBus)</t>
  </si>
  <si>
    <t>Creation of a production concept</t>
  </si>
  <si>
    <t>Creation of conformity and testing concept</t>
  </si>
  <si>
    <t>Creation of acceptance specification for hardware</t>
  </si>
  <si>
    <t>Creation of acceptance specification software</t>
  </si>
  <si>
    <t>Review Product Costing</t>
  </si>
  <si>
    <t>Creation of product specifications</t>
  </si>
  <si>
    <t>Standards</t>
  </si>
  <si>
    <t>Training</t>
  </si>
  <si>
    <t>Test set-up</t>
  </si>
  <si>
    <t>External Consulting (CONSENS Moderator)</t>
  </si>
  <si>
    <t>Setting up a project (IDE, FreeRTOS, Debug)</t>
  </si>
  <si>
    <t>Hardware Driver I/O (Relay I/O, PT1000, RS485, Dip Switch)</t>
  </si>
  <si>
    <t>Data Layer</t>
  </si>
  <si>
    <t>Tweaking</t>
  </si>
  <si>
    <t>Decoupling EMC software</t>
  </si>
  <si>
    <t>Documentation</t>
  </si>
  <si>
    <t>Material Functional Pattern (A-Pattern)</t>
  </si>
  <si>
    <t>External Software Modules</t>
  </si>
  <si>
    <t>Material Test Setup</t>
  </si>
  <si>
    <t>Acquisition of Development Services-Smart</t>
  </si>
  <si>
    <t>Creation of circuit diagram for the Altium component system</t>
  </si>
  <si>
    <t>Cost and procurement review (purchasing)</t>
  </si>
  <si>
    <t>Schematic review (internal and customer)</t>
  </si>
  <si>
    <t>Creation of layout, course study</t>
  </si>
  <si>
    <t>Layout review (internal and customer)</t>
  </si>
  <si>
    <t>Layout review (EMC testing institute) and rework</t>
  </si>
  <si>
    <t>Definition of mounting elements, cables and accessories</t>
  </si>
  <si>
    <t>Coordination with external service providers / suppliers</t>
  </si>
  <si>
    <t>Material procurement for prototypes and test setups</t>
  </si>
  <si>
    <t>Construction of the B0 prototypes (12 pieces)</t>
  </si>
  <si>
    <t>Structure of the test environment</t>
  </si>
  <si>
    <t>Software development (memory management, GUI, application logic)</t>
  </si>
  <si>
    <t>Commissioning of the B0 prototypes</t>
  </si>
  <si>
    <t>Software development (EMC software) (see above)</t>
  </si>
  <si>
    <t>Hardware Verification Test, Elaboration and Execution</t>
  </si>
  <si>
    <t>Preparation of EMC test setup</t>
  </si>
  <si>
    <t>Accompaniment of EMC pre-testing</t>
  </si>
  <si>
    <t>Preparation and implementation of safety assessment</t>
  </si>
  <si>
    <t>System test (contech)</t>
  </si>
  <si>
    <t>Commissioning and system test with customer</t>
  </si>
  <si>
    <t>Updating of functional specifications / internal documentation</t>
  </si>
  <si>
    <t>Material Prototypes (B0 samples)</t>
  </si>
  <si>
    <t>EMC Review (external)</t>
  </si>
  <si>
    <t>EMC Preliminary Testing</t>
  </si>
  <si>
    <t>Safety Audit Pre-Assessment</t>
  </si>
  <si>
    <t>Revision of circuit diagram</t>
  </si>
  <si>
    <t>Revision Layout</t>
  </si>
  <si>
    <t>Layout review (EMC testing institute) Rework</t>
  </si>
  <si>
    <t>Revision of mounting elements, cables and accessories</t>
  </si>
  <si>
    <t>Construction of the B1 prototypes (12 pieces)</t>
  </si>
  <si>
    <t>Software development (implementation of all functions, adaptations, stress tests, fine-tuning)</t>
  </si>
  <si>
    <t>Commissioning of the B1 prototypes</t>
  </si>
  <si>
    <t>Hardware Verification Test</t>
  </si>
  <si>
    <t>Accompaniment of EMC system testing</t>
  </si>
  <si>
    <t>Carrying out a safety check</t>
  </si>
  <si>
    <t>System test customer (support by contech)</t>
  </si>
  <si>
    <t>Material Prototypes (B1 samples)</t>
  </si>
  <si>
    <t>EMC Testing</t>
  </si>
  <si>
    <t>Security Testing</t>
  </si>
  <si>
    <t>Definition of test criteria and tolerances (electronics, electrics, mechanics, etc.)</t>
  </si>
  <si>
    <t>Planning of test procedures</t>
  </si>
  <si>
    <t>Development of a concept for test adapters and testing software</t>
  </si>
  <si>
    <t>Test adapter construction</t>
  </si>
  <si>
    <t>Documentation Test Adapter</t>
  </si>
  <si>
    <t>Creation and testing software</t>
  </si>
  <si>
    <t>Dokumentaton Test Procedure</t>
  </si>
  <si>
    <t>Provision of test adapters</t>
  </si>
  <si>
    <t>Testing the pilot run</t>
  </si>
  <si>
    <t>Addition and optimisation of the test sequence</t>
  </si>
  <si>
    <t>Conception of equipment (e.g. milling plan and milling)</t>
  </si>
  <si>
    <t>Provision of operating resources (e.g. assembly aids)</t>
  </si>
  <si>
    <t>Creation of a 3D milling concept (Probe/Moving/Pressure Plate)</t>
  </si>
  <si>
    <t>Material Test Adapter</t>
  </si>
  <si>
    <t>Material Operating Equipment</t>
  </si>
  <si>
    <t>Additional measuring equipment required</t>
  </si>
  <si>
    <t>Production Planning - Production Processes</t>
  </si>
  <si>
    <t>Production Preparation - Preparation of Development Data</t>
  </si>
  <si>
    <t>Production Preparation - Bill of Materials</t>
  </si>
  <si>
    <t>Production Preparation - Production Document</t>
  </si>
  <si>
    <t>Production Preparation - Conception of the soldering process / tests</t>
  </si>
  <si>
    <t>Pre-Series - Material Procurement</t>
  </si>
  <si>
    <t>Pre-Series - Team Qualification</t>
  </si>
  <si>
    <t>Pre-series - SMD placement program</t>
  </si>
  <si>
    <t>Pre-Series - AOI Programming</t>
  </si>
  <si>
    <t>Pre-series - accompaniment</t>
  </si>
  <si>
    <t>Pre-Series - Optimization</t>
  </si>
  <si>
    <t>Pre-Series - Reference Sample / Initial Sample + Report</t>
  </si>
  <si>
    <t>Pre-series - Initial sample inspection customer</t>
  </si>
  <si>
    <t>Pre-series - Finalization of product costing</t>
  </si>
  <si>
    <t>Set-up costs for serial PCB</t>
  </si>
  <si>
    <t>Stencils</t>
  </si>
  <si>
    <t>0-Series - Procurement of cross-country skiers</t>
  </si>
  <si>
    <t>0 Series - Procurement of Pilot Series Material</t>
  </si>
  <si>
    <t>0 Series - Production 0 Series</t>
  </si>
  <si>
    <t>0-Series - Delivery 0-Series</t>
  </si>
  <si>
    <t>Maximum volume for changes in the course of development</t>
  </si>
  <si>
    <t>Product Support &amp; Maintenance (First Year)</t>
  </si>
  <si>
    <t>Maximum buffer based on risk assessment (technical risks, additional expenses)</t>
  </si>
  <si>
    <t>Task-ID</t>
  </si>
  <si>
    <t>Parent ID</t>
  </si>
  <si>
    <t>Summary</t>
  </si>
  <si>
    <t>Description</t>
  </si>
  <si>
    <t>Priority</t>
  </si>
  <si>
    <t>Remaining Estimate (in seconds)</t>
  </si>
  <si>
    <t>Original Estimate (in seconds)</t>
  </si>
  <si>
    <t>Issue Type</t>
  </si>
  <si>
    <t>Components</t>
  </si>
  <si>
    <t>Total</t>
  </si>
  <si>
    <t>Project management</t>
  </si>
  <si>
    <t>Hardware Development</t>
  </si>
  <si>
    <t>Software Development</t>
  </si>
  <si>
    <t>Prototype construction</t>
  </si>
  <si>
    <t>Test equipment</t>
  </si>
  <si>
    <t>Production process</t>
  </si>
  <si>
    <t>AZ: Procurement</t>
  </si>
  <si>
    <t>Individual costs</t>
  </si>
  <si>
    <t>Single price</t>
  </si>
  <si>
    <t>Customer:</t>
  </si>
  <si>
    <t>Project:</t>
  </si>
  <si>
    <t>Order:</t>
  </si>
  <si>
    <t>Abbreviation:</t>
  </si>
  <si>
    <t>Write Jira Project Key Here</t>
  </si>
  <si>
    <t>write your component number(only integer)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</si>
</sst>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\ &quot;€&quot;"/>
  </numFmts>
  <fonts count="26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Ârial"/>
    </font>
    <font>
      <b/>
      <sz val="12"/>
      <name val="Ârial"/>
    </font>
    <font>
      <b/>
      <sz val="12"/>
      <name val="Arial"/>
      <family val="2"/>
    </font>
    <font>
      <b/>
      <sz val="10"/>
      <name val="Ârial"/>
    </font>
    <font>
      <u/>
      <sz val="11"/>
      <color theme="10"/>
      <name val="Calibri"/>
      <family val="2"/>
    </font>
    <font>
      <b/>
      <sz val="10"/>
      <color theme="1"/>
      <name val="Ârial"/>
    </font>
    <font>
      <sz val="10"/>
      <color theme="0"/>
      <name val="Ârial"/>
    </font>
    <font>
      <b/>
      <sz val="11"/>
      <color rgb="FF3F3F3F"/>
      <name val="Arial"/>
      <family val="2"/>
      <scheme val="minor"/>
    </font>
    <font>
      <b/>
      <sz val="11"/>
      <color rgb="FF3F3F3F"/>
      <name val="Arial"/>
      <family val="2"/>
    </font>
    <font>
      <b/>
      <sz val="11"/>
      <color rgb="FFFF0000"/>
      <name val="Arial"/>
      <family val="2"/>
    </font>
    <font>
      <sz val="8"/>
      <name val="Arial"/>
      <family val="2"/>
    </font>
    <font>
      <b/>
      <sz val="10"/>
      <color theme="0"/>
      <name val="Ârial"/>
    </font>
    <font>
      <i/>
      <sz val="10"/>
      <color theme="1"/>
      <name val="Arial"/>
      <family val="2"/>
    </font>
    <font>
      <sz val="10"/>
      <color theme="1"/>
      <name val="Ârial"/>
    </font>
    <font>
      <sz val="10"/>
      <color theme="2" tint="-0.249977111117893"/>
      <name val="Ârial"/>
    </font>
    <font>
      <sz val="10"/>
      <color rgb="FF000000"/>
      <name val="Arial"/>
      <family val="2"/>
    </font>
    <font>
      <sz val="1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44" fontId="4" fillId="0" borderId="0" applyFont="0" applyFill="0" applyBorder="0" applyAlignment="0" applyProtection="0"/>
    <xf numFmtId="0" fontId="4" fillId="0" borderId="0"/>
    <xf numFmtId="0" fontId="13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9" borderId="5" applyNumberFormat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0" xfId="0" applyFont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/>
    </xf>
    <xf numFmtId="44" fontId="4" fillId="0" borderId="0" xfId="1" applyFont="1" applyFill="1" applyBorder="1" applyAlignment="1">
      <alignment vertical="top"/>
    </xf>
    <xf numFmtId="44" fontId="4" fillId="0" borderId="0" xfId="1" applyFont="1" applyFill="1" applyBorder="1" applyAlignment="1">
      <alignment horizontal="right" vertical="top"/>
    </xf>
    <xf numFmtId="44" fontId="3" fillId="3" borderId="0" xfId="1" applyFont="1" applyFill="1" applyBorder="1" applyAlignment="1">
      <alignment horizontal="right" vertical="top"/>
    </xf>
    <xf numFmtId="164" fontId="6" fillId="6" borderId="1" xfId="1" applyNumberFormat="1" applyFont="1" applyFill="1" applyBorder="1" applyAlignment="1">
      <alignment horizontal="right" vertical="top"/>
    </xf>
    <xf numFmtId="164" fontId="6" fillId="2" borderId="0" xfId="1" applyNumberFormat="1" applyFont="1" applyFill="1" applyBorder="1" applyAlignment="1">
      <alignment horizontal="right" vertical="top"/>
    </xf>
    <xf numFmtId="164" fontId="4" fillId="0" borderId="0" xfId="1" applyNumberFormat="1" applyFont="1" applyFill="1" applyBorder="1" applyAlignment="1">
      <alignment horizontal="right" vertical="top"/>
    </xf>
    <xf numFmtId="164" fontId="3" fillId="3" borderId="1" xfId="1" applyNumberFormat="1" applyFont="1" applyFill="1" applyBorder="1" applyAlignment="1">
      <alignment horizontal="right" vertical="top"/>
    </xf>
    <xf numFmtId="164" fontId="0" fillId="0" borderId="0" xfId="0" applyNumberFormat="1"/>
    <xf numFmtId="164" fontId="6" fillId="2" borderId="1" xfId="1" applyNumberFormat="1" applyFont="1" applyFill="1" applyBorder="1" applyAlignment="1">
      <alignment horizontal="right" vertical="top"/>
    </xf>
    <xf numFmtId="164" fontId="6" fillId="6" borderId="3" xfId="1" applyNumberFormat="1" applyFont="1" applyFill="1" applyBorder="1" applyAlignment="1">
      <alignment vertical="top"/>
    </xf>
    <xf numFmtId="164" fontId="4" fillId="0" borderId="3" xfId="1" applyNumberFormat="1" applyFont="1" applyFill="1" applyBorder="1" applyAlignment="1">
      <alignment vertical="top"/>
    </xf>
    <xf numFmtId="164" fontId="6" fillId="2" borderId="3" xfId="1" applyNumberFormat="1" applyFont="1" applyFill="1" applyBorder="1" applyAlignment="1">
      <alignment vertical="top"/>
    </xf>
    <xf numFmtId="164" fontId="4" fillId="0" borderId="1" xfId="1" applyNumberFormat="1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center" vertical="top"/>
    </xf>
    <xf numFmtId="164" fontId="5" fillId="5" borderId="0" xfId="1" applyNumberFormat="1" applyFont="1" applyFill="1" applyBorder="1" applyAlignment="1">
      <alignment horizontal="right" vertical="top"/>
    </xf>
    <xf numFmtId="44" fontId="6" fillId="0" borderId="0" xfId="1" applyFont="1" applyFill="1" applyBorder="1" applyAlignment="1">
      <alignment horizontal="right" vertical="top"/>
    </xf>
    <xf numFmtId="44" fontId="8" fillId="7" borderId="0" xfId="1" applyFont="1" applyFill="1" applyBorder="1" applyAlignment="1">
      <alignment horizontal="right" vertical="top"/>
    </xf>
    <xf numFmtId="164" fontId="8" fillId="7" borderId="1" xfId="1" applyNumberFormat="1" applyFont="1" applyFill="1" applyBorder="1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164" fontId="5" fillId="4" borderId="0" xfId="1" applyNumberFormat="1" applyFont="1" applyFill="1" applyBorder="1" applyAlignment="1">
      <alignment horizontal="right" vertical="top"/>
    </xf>
    <xf numFmtId="44" fontId="5" fillId="0" borderId="0" xfId="1" applyFont="1" applyFill="1" applyBorder="1" applyAlignment="1">
      <alignment horizontal="right" vertical="top"/>
    </xf>
    <xf numFmtId="164" fontId="5" fillId="0" borderId="0" xfId="1" applyNumberFormat="1" applyFont="1" applyFill="1" applyBorder="1" applyAlignment="1">
      <alignment horizontal="right" vertical="top"/>
    </xf>
    <xf numFmtId="164" fontId="8" fillId="7" borderId="0" xfId="1" applyNumberFormat="1" applyFont="1" applyFill="1" applyBorder="1" applyAlignment="1">
      <alignment horizontal="right" vertical="top"/>
    </xf>
    <xf numFmtId="164" fontId="8" fillId="7" borderId="0" xfId="1" applyNumberFormat="1" applyFont="1" applyFill="1" applyBorder="1" applyAlignment="1">
      <alignment vertical="top"/>
    </xf>
    <xf numFmtId="164" fontId="5" fillId="0" borderId="0" xfId="1" applyNumberFormat="1" applyFont="1" applyFill="1" applyBorder="1" applyAlignment="1">
      <alignment vertical="top"/>
    </xf>
    <xf numFmtId="164" fontId="11" fillId="3" borderId="0" xfId="1" applyNumberFormat="1" applyFont="1" applyFill="1" applyBorder="1" applyAlignment="1">
      <alignment horizontal="right" vertical="top"/>
    </xf>
    <xf numFmtId="164" fontId="6" fillId="8" borderId="4" xfId="1" applyNumberFormat="1" applyFont="1" applyFill="1" applyBorder="1" applyAlignment="1">
      <alignment horizontal="right" vertical="top"/>
    </xf>
    <xf numFmtId="0" fontId="8" fillId="3" borderId="2" xfId="0" applyFont="1" applyFill="1" applyBorder="1" applyAlignment="1">
      <alignment horizontal="center" vertical="top"/>
    </xf>
    <xf numFmtId="164" fontId="8" fillId="3" borderId="0" xfId="1" applyNumberFormat="1" applyFont="1" applyFill="1" applyBorder="1" applyAlignment="1">
      <alignment horizontal="right" vertical="top"/>
    </xf>
    <xf numFmtId="1" fontId="6" fillId="6" borderId="2" xfId="0" applyNumberFormat="1" applyFont="1" applyFill="1" applyBorder="1" applyAlignment="1">
      <alignment vertical="top"/>
    </xf>
    <xf numFmtId="1" fontId="6" fillId="2" borderId="2" xfId="0" applyNumberFormat="1" applyFont="1" applyFill="1" applyBorder="1" applyAlignment="1">
      <alignment vertical="top"/>
    </xf>
    <xf numFmtId="1" fontId="0" fillId="0" borderId="0" xfId="0" applyNumberFormat="1"/>
    <xf numFmtId="164" fontId="4" fillId="0" borderId="0" xfId="1" applyNumberFormat="1" applyFont="1" applyFill="1" applyBorder="1" applyAlignment="1">
      <alignment vertical="top"/>
    </xf>
    <xf numFmtId="164" fontId="8" fillId="3" borderId="0" xfId="1" applyNumberFormat="1" applyFont="1" applyFill="1" applyBorder="1" applyAlignment="1">
      <alignment vertical="top"/>
    </xf>
    <xf numFmtId="164" fontId="4" fillId="4" borderId="0" xfId="1" applyNumberFormat="1" applyFont="1" applyFill="1" applyBorder="1" applyAlignment="1">
      <alignment vertical="top"/>
    </xf>
    <xf numFmtId="164" fontId="4" fillId="4" borderId="0" xfId="1" applyNumberFormat="1" applyFont="1" applyFill="1" applyBorder="1" applyAlignment="1">
      <alignment horizontal="right" vertical="top"/>
    </xf>
    <xf numFmtId="0" fontId="17" fillId="10" borderId="5" xfId="22" applyFont="1" applyFill="1"/>
    <xf numFmtId="0" fontId="17" fillId="10" borderId="5" xfId="22" applyFont="1" applyFill="1" applyAlignment="1">
      <alignment wrapText="1"/>
    </xf>
    <xf numFmtId="0" fontId="17" fillId="10" borderId="6" xfId="22" applyFont="1" applyFill="1" applyBorder="1"/>
    <xf numFmtId="0" fontId="18" fillId="10" borderId="7" xfId="22" applyFont="1" applyFill="1" applyBorder="1"/>
    <xf numFmtId="0" fontId="0" fillId="0" borderId="0" xfId="0" applyAlignment="1">
      <alignment wrapText="1"/>
    </xf>
    <xf numFmtId="49" fontId="0" fillId="0" borderId="0" xfId="0" applyNumberFormat="1"/>
    <xf numFmtId="49" fontId="4" fillId="0" borderId="0" xfId="0" applyNumberFormat="1" applyFont="1"/>
    <xf numFmtId="0" fontId="9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10" fillId="0" borderId="0" xfId="0" applyFont="1" applyAlignment="1">
      <alignment horizontal="right" vertical="top"/>
    </xf>
    <xf numFmtId="1" fontId="4" fillId="0" borderId="2" xfId="0" applyNumberFormat="1" applyFont="1" applyBorder="1" applyAlignment="1">
      <alignment vertical="top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" fillId="2" borderId="0" xfId="0" applyFont="1" applyFill="1" applyAlignment="1">
      <alignment horizontal="center" vertical="top"/>
    </xf>
    <xf numFmtId="0" fontId="6" fillId="0" borderId="0" xfId="0" applyFont="1" applyAlignment="1">
      <alignment vertical="top"/>
    </xf>
    <xf numFmtId="1" fontId="4" fillId="0" borderId="0" xfId="0" applyNumberFormat="1" applyFont="1" applyAlignment="1">
      <alignment vertical="top"/>
    </xf>
    <xf numFmtId="0" fontId="3" fillId="8" borderId="4" xfId="0" applyFont="1" applyFill="1" applyBorder="1" applyAlignment="1">
      <alignment horizontal="left" vertical="top"/>
    </xf>
    <xf numFmtId="0" fontId="3" fillId="3" borderId="0" xfId="0" applyFont="1" applyFill="1" applyAlignment="1">
      <alignment horizontal="center" vertical="top"/>
    </xf>
    <xf numFmtId="0" fontId="12" fillId="3" borderId="0" xfId="0" applyFont="1" applyFill="1" applyAlignment="1">
      <alignment vertical="top"/>
    </xf>
    <xf numFmtId="0" fontId="3" fillId="3" borderId="0" xfId="0" applyFont="1" applyFill="1" applyAlignment="1">
      <alignment vertical="top"/>
    </xf>
    <xf numFmtId="1" fontId="8" fillId="3" borderId="0" xfId="0" applyNumberFormat="1" applyFont="1" applyFill="1" applyAlignment="1">
      <alignment vertical="top"/>
    </xf>
    <xf numFmtId="0" fontId="8" fillId="7" borderId="0" xfId="0" applyFont="1" applyFill="1" applyAlignment="1">
      <alignment horizontal="left" vertical="top"/>
    </xf>
    <xf numFmtId="0" fontId="8" fillId="7" borderId="0" xfId="0" applyFont="1" applyFill="1" applyAlignment="1">
      <alignment horizontal="center" vertical="top"/>
    </xf>
    <xf numFmtId="0" fontId="14" fillId="7" borderId="0" xfId="0" applyFont="1" applyFill="1" applyAlignment="1">
      <alignment vertical="top"/>
    </xf>
    <xf numFmtId="0" fontId="8" fillId="7" borderId="0" xfId="0" applyFont="1" applyFill="1" applyAlignment="1">
      <alignment vertical="top"/>
    </xf>
    <xf numFmtId="1" fontId="8" fillId="7" borderId="0" xfId="0" applyNumberFormat="1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top"/>
    </xf>
    <xf numFmtId="44" fontId="5" fillId="0" borderId="0" xfId="0" applyNumberFormat="1" applyFont="1" applyAlignment="1">
      <alignment horizontal="center" vertical="top"/>
    </xf>
    <xf numFmtId="1" fontId="5" fillId="0" borderId="0" xfId="0" applyNumberFormat="1" applyFont="1" applyAlignment="1">
      <alignment vertical="top"/>
    </xf>
    <xf numFmtId="0" fontId="4" fillId="0" borderId="0" xfId="5"/>
    <xf numFmtId="1" fontId="4" fillId="4" borderId="0" xfId="0" applyNumberFormat="1" applyFont="1" applyFill="1" applyAlignment="1">
      <alignment vertical="top"/>
    </xf>
    <xf numFmtId="0" fontId="0" fillId="0" borderId="0" xfId="0" applyAlignment="1">
      <alignment horizontal="left"/>
    </xf>
    <xf numFmtId="0" fontId="6" fillId="6" borderId="0" xfId="0" applyFont="1" applyFill="1" applyAlignment="1">
      <alignment horizontal="center" vertical="top"/>
    </xf>
    <xf numFmtId="0" fontId="20" fillId="2" borderId="0" xfId="0" applyFont="1" applyFill="1" applyAlignment="1">
      <alignment vertical="top"/>
    </xf>
    <xf numFmtId="0" fontId="21" fillId="0" borderId="0" xfId="0" applyFont="1"/>
    <xf numFmtId="0" fontId="21" fillId="0" borderId="0" xfId="0" applyFont="1" applyAlignment="1">
      <alignment vertical="top"/>
    </xf>
    <xf numFmtId="0" fontId="4" fillId="0" borderId="0" xfId="5" applyAlignment="1">
      <alignment wrapText="1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5" fillId="11" borderId="0" xfId="0" applyFont="1" applyFill="1" applyAlignment="1">
      <alignment vertical="top"/>
    </xf>
    <xf numFmtId="0" fontId="22" fillId="11" borderId="0" xfId="5" applyFont="1" applyFill="1" applyAlignment="1">
      <alignment horizontal="left" vertical="top" readingOrder="1"/>
    </xf>
    <xf numFmtId="0" fontId="22" fillId="0" borderId="0" xfId="5" applyFont="1" applyAlignment="1">
      <alignment horizontal="left" vertical="top" readingOrder="1"/>
    </xf>
    <xf numFmtId="0" fontId="4" fillId="11" borderId="0" xfId="5" applyFill="1"/>
    <xf numFmtId="0" fontId="5" fillId="11" borderId="0" xfId="0" applyFont="1" applyFill="1"/>
    <xf numFmtId="0" fontId="4" fillId="11" borderId="0" xfId="0" applyFont="1" applyFill="1"/>
    <xf numFmtId="1" fontId="4" fillId="4" borderId="2" xfId="0" applyNumberFormat="1" applyFont="1" applyFill="1" applyBorder="1" applyAlignment="1">
      <alignment vertical="top"/>
    </xf>
    <xf numFmtId="164" fontId="4" fillId="4" borderId="3" xfId="1" applyNumberFormat="1" applyFont="1" applyFill="1" applyBorder="1" applyAlignment="1">
      <alignment vertical="top"/>
    </xf>
    <xf numFmtId="164" fontId="4" fillId="4" borderId="1" xfId="1" applyNumberFormat="1" applyFont="1" applyFill="1" applyBorder="1" applyAlignment="1">
      <alignment horizontal="right" vertical="top"/>
    </xf>
    <xf numFmtId="0" fontId="5" fillId="0" borderId="0" xfId="0" applyFont="1" applyAlignment="1">
      <alignment wrapText="1"/>
    </xf>
    <xf numFmtId="0" fontId="23" fillId="0" borderId="10" xfId="0" applyFont="1" applyBorder="1" applyAlignment="1">
      <alignment vertical="top"/>
    </xf>
    <xf numFmtId="0" fontId="3" fillId="0" borderId="11" xfId="0" applyFont="1" applyBorder="1" applyAlignment="1">
      <alignment horizontal="left" vertical="top"/>
    </xf>
    <xf numFmtId="0" fontId="23" fillId="0" borderId="12" xfId="0" applyFont="1" applyBorder="1" applyAlignment="1">
      <alignment vertical="top"/>
    </xf>
    <xf numFmtId="0" fontId="25" fillId="0" borderId="0" xfId="0" applyFont="1" applyAlignment="1">
      <alignment horizontal="left" vertical="center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3" fillId="0" borderId="12" xfId="0" applyFont="1" applyBorder="1" applyAlignment="1">
      <alignment vertical="top" wrapText="1"/>
    </xf>
    <xf numFmtId="0" fontId="7" fillId="2" borderId="0" xfId="0" applyFont="1" applyFill="1" applyAlignment="1">
      <alignment horizontal="center" vertical="top"/>
    </xf>
    <xf numFmtId="0" fontId="6" fillId="6" borderId="0" xfId="0" applyFont="1" applyFill="1" applyAlignment="1">
      <alignment horizontal="center" vertical="top" wrapText="1"/>
    </xf>
    <xf numFmtId="0" fontId="6" fillId="6" borderId="0" xfId="0" applyFont="1" applyFill="1" applyAlignment="1">
      <alignment horizontal="center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</cellXfs>
  <cellStyles count="23">
    <cellStyle name="Hyperlink 2" xfId="3" xr:uid="{00000000-0005-0000-0000-000000000000}"/>
    <cellStyle name="Normal" xfId="0" builtinId="0"/>
    <cellStyle name="Output" xfId="22" builtinId="21"/>
    <cellStyle name="Prozent 2" xfId="4" xr:uid="{00000000-0005-0000-0000-000001000000}"/>
    <cellStyle name="Standard 2" xfId="5" xr:uid="{00000000-0005-0000-0000-000003000000}"/>
    <cellStyle name="Standard 3" xfId="6" xr:uid="{00000000-0005-0000-0000-000004000000}"/>
    <cellStyle name="Standard 3 2" xfId="8" xr:uid="{00000000-0005-0000-0000-000005000000}"/>
    <cellStyle name="Standard 3 2 2" xfId="12" xr:uid="{00000000-0005-0000-0000-000006000000}"/>
    <cellStyle name="Standard 3 2 2 2" xfId="20" xr:uid="{00000000-0005-0000-0000-000007000000}"/>
    <cellStyle name="Standard 3 2 3" xfId="16" xr:uid="{00000000-0005-0000-0000-000008000000}"/>
    <cellStyle name="Standard 3 3" xfId="10" xr:uid="{00000000-0005-0000-0000-000009000000}"/>
    <cellStyle name="Standard 3 3 2" xfId="18" xr:uid="{00000000-0005-0000-0000-00000A000000}"/>
    <cellStyle name="Standard 3 4" xfId="14" xr:uid="{00000000-0005-0000-0000-00000B000000}"/>
    <cellStyle name="Standard 4" xfId="7" xr:uid="{00000000-0005-0000-0000-00000C000000}"/>
    <cellStyle name="Standard 4 2" xfId="9" xr:uid="{00000000-0005-0000-0000-00000D000000}"/>
    <cellStyle name="Standard 4 2 2" xfId="13" xr:uid="{00000000-0005-0000-0000-00000E000000}"/>
    <cellStyle name="Standard 4 2 2 2" xfId="21" xr:uid="{00000000-0005-0000-0000-00000F000000}"/>
    <cellStyle name="Standard 4 2 3" xfId="17" xr:uid="{00000000-0005-0000-0000-000010000000}"/>
    <cellStyle name="Standard 4 3" xfId="11" xr:uid="{00000000-0005-0000-0000-000011000000}"/>
    <cellStyle name="Standard 4 3 2" xfId="19" xr:uid="{00000000-0005-0000-0000-000012000000}"/>
    <cellStyle name="Standard 4 4" xfId="15" xr:uid="{00000000-0005-0000-0000-000013000000}"/>
    <cellStyle name="Standard 5" xfId="2" xr:uid="{00000000-0005-0000-0000-000014000000}"/>
    <cellStyle name="Währung 2" xfId="1" xr:uid="{00000000-0005-0000-0000-00001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292929"/>
      <rgbColor rgb="00FFFFFF"/>
      <rgbColor rgb="00FFFF66"/>
      <rgbColor rgb="00FFFFFF"/>
      <rgbColor rgb="004D4D4D"/>
      <rgbColor rgb="00FFFFFF"/>
      <rgbColor rgb="00111111"/>
      <rgbColor rgb="006FA7CD"/>
      <rgbColor rgb="00FFCC00"/>
      <rgbColor rgb="00FFFFFF"/>
      <rgbColor rgb="00B9E9B5"/>
      <rgbColor rgb="00FC986B"/>
      <rgbColor rgb="00EAEAEA"/>
      <rgbColor rgb="00969696"/>
      <rgbColor rgb="00003258"/>
      <rgbColor rgb="006FA7CD"/>
      <rgbColor rgb="00C2D7E0"/>
      <rgbColor rgb="00EAEAEA"/>
      <rgbColor rgb="00C0C0C0"/>
      <rgbColor rgb="00969696"/>
      <rgbColor rgb="00777777"/>
      <rgbColor rgb="004D4D4D"/>
      <rgbColor rgb="00003258"/>
      <rgbColor rgb="006FA7CD"/>
      <rgbColor rgb="00C2D7E0"/>
      <rgbColor rgb="00EAEAEA"/>
      <rgbColor rgb="00C0C0C0"/>
      <rgbColor rgb="00969696"/>
      <rgbColor rgb="00777777"/>
      <rgbColor rgb="004D4D4D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CC"/>
      <rgbColor rgb="00FECDB5"/>
      <rgbColor rgb="00FFFFFF"/>
      <rgbColor rgb="00FFFFFF"/>
      <rgbColor rgb="00FFFFFF"/>
      <rgbColor rgb="00FFFFFF"/>
      <rgbColor rgb="0084D97D"/>
      <rgbColor rgb="00C0C0C0"/>
      <rgbColor rgb="00800000"/>
      <rgbColor rgb="00C2D7E0"/>
      <rgbColor rgb="00003258"/>
      <rgbColor rgb="00FFFFFF"/>
      <rgbColor rgb="00FFFFFF"/>
      <rgbColor rgb="00FFFFFF"/>
      <rgbColor rgb="00006600"/>
      <rgbColor rgb="00777777"/>
    </indexedColors>
    <mruColors>
      <color rgb="FF009992"/>
      <color rgb="FFFFE600"/>
      <color rgb="FFC00000"/>
      <color rgb="FFF2F2F2"/>
      <color rgb="FF9BE600"/>
      <color rgb="FF7F7F7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388620</xdr:colOff>
          <xdr:row>3</xdr:row>
          <xdr:rowOff>7620</xdr:rowOff>
        </xdr:from>
        <xdr:to>
          <xdr:col>17</xdr:col>
          <xdr:colOff>22860</xdr:colOff>
          <xdr:row>17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CSV File and Upload to Jira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aster UNITY">
  <a:themeElements>
    <a:clrScheme name="contech">
      <a:dk1>
        <a:sysClr val="windowText" lastClr="000000"/>
      </a:dk1>
      <a:lt1>
        <a:sysClr val="window" lastClr="FFFFFF"/>
      </a:lt1>
      <a:dk2>
        <a:srgbClr val="009992"/>
      </a:dk2>
      <a:lt2>
        <a:srgbClr val="D2D2D2"/>
      </a:lt2>
      <a:accent1>
        <a:srgbClr val="009992"/>
      </a:accent1>
      <a:accent2>
        <a:srgbClr val="2B726C"/>
      </a:accent2>
      <a:accent3>
        <a:srgbClr val="7F7F7F"/>
      </a:accent3>
      <a:accent4>
        <a:srgbClr val="339966"/>
      </a:accent4>
      <a:accent5>
        <a:srgbClr val="FFE600"/>
      </a:accent5>
      <a:accent6>
        <a:srgbClr val="C00000"/>
      </a:accent6>
      <a:hlink>
        <a:srgbClr val="000000"/>
      </a:hlink>
      <a:folHlink>
        <a:srgbClr val="009992"/>
      </a:folHlink>
    </a:clrScheme>
    <a:fontScheme name="Vorlage_V_4_0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Vorlage_V_4_0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9050" cap="flat" cmpd="sng" algn="ctr">
          <a:solidFill>
            <a:srgbClr val="003258"/>
          </a:solidFill>
          <a:prstDash val="solid"/>
        </a:ln>
        <a:ln w="19050" cap="flat" cmpd="sng" algn="ctr">
          <a:solidFill>
            <a:srgbClr val="003258"/>
          </a:solidFill>
          <a:prstDash val="solid"/>
        </a:ln>
        <a:ln w="19050" cap="flat" cmpd="sng" algn="ctr">
          <a:solidFill>
            <a:srgbClr val="003258"/>
          </a:solidFill>
          <a:prstDash val="solid"/>
        </a:ln>
      </a:lnStyleLst>
      <a:effectStyleLst>
        <a:effectStyle>
          <a:effectLst>
            <a:outerShdw blurRad="38100" dist="101600" dir="2400000" rotWithShape="0">
              <a:srgbClr val="000000">
                <a:alpha val="30000"/>
              </a:srgbClr>
            </a:outerShdw>
          </a:effectLst>
        </a:effectStyle>
        <a:effectStyle>
          <a:effectLst>
            <a:outerShdw blurRad="38100" dist="101600" dir="2400000" rotWithShape="0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chilly" dir="r"/>
          </a:scene3d>
          <a:sp3d prstMaterial="plastic">
            <a:bevelT w="165100"/>
          </a:sp3d>
        </a:effectStyle>
        <a:effectStyle>
          <a:effectLst>
            <a:outerShdw blurRad="38100" dist="101600" dir="2400000" rotWithShape="0">
              <a:srgbClr val="000000">
                <a:alpha val="30000"/>
              </a:srgbClr>
            </a:outerShdw>
          </a:effectLst>
          <a:scene3d>
            <a:camera prst="obliqueBottomRight" fov="6000000"/>
            <a:lightRig rig="flat" dir="t"/>
          </a:scene3d>
          <a:sp3d prstMaterial="plastic">
            <a:bevelT w="254000" h="127000"/>
          </a:sp3d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 bwMode="gray">
        <a:solidFill>
          <a:schemeClr val="bg1"/>
        </a:solidFill>
        <a:ln>
          <a:solidFill>
            <a:schemeClr val="tx2"/>
          </a:solidFill>
        </a:ln>
      </a:spPr>
      <a:bodyPr rtlCol="0" anchor="ctr"/>
      <a:lstStyle>
        <a:defPPr algn="ctr">
          <a:defRPr sz="1800" dirty="0" err="1" smtClean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F240"/>
  <sheetViews>
    <sheetView zoomScaleNormal="100" zoomScaleSheetLayoutView="55" workbookViewId="0">
      <pane xSplit="7" ySplit="8" topLeftCell="H132" activePane="bottomRight" state="frozen"/>
      <selection pane="topRight"/>
      <selection pane="bottomLeft"/>
      <selection pane="bottomRight" activeCell="D3" sqref="D3"/>
    </sheetView>
  </sheetViews>
  <sheetFormatPr defaultColWidth="11.44140625" defaultRowHeight="13.2" outlineLevelRow="1"/>
  <cols>
    <col min="1" max="1" width="4.88671875" style="76" customWidth="1"/>
    <col min="2" max="2" width="3.88671875" customWidth="1"/>
    <col min="3" max="3" width="51.5546875" customWidth="1"/>
    <col min="4" max="4" width="14.33203125" customWidth="1"/>
    <col min="5" max="5" width="2.109375" customWidth="1"/>
    <col min="6" max="6" width="8.88671875" customWidth="1"/>
    <col min="7" max="7" width="12.109375" style="12" customWidth="1"/>
    <col min="8" max="8" width="0.88671875" customWidth="1"/>
    <col min="9" max="9" width="5.88671875" customWidth="1"/>
    <col min="10" max="10" width="10.44140625" style="12" customWidth="1"/>
    <col min="11" max="11" width="0.88671875" customWidth="1"/>
    <col min="12" max="12" width="5.88671875" customWidth="1"/>
    <col min="13" max="13" width="10.44140625" style="12" customWidth="1"/>
    <col min="14" max="14" width="0.88671875" customWidth="1"/>
    <col min="15" max="15" width="5.88671875" customWidth="1"/>
    <col min="16" max="16" width="9.88671875" style="12" customWidth="1"/>
    <col min="17" max="17" width="0.88671875" customWidth="1"/>
    <col min="18" max="18" width="5.88671875" customWidth="1"/>
    <col min="19" max="19" width="8.88671875" style="12" customWidth="1"/>
    <col min="20" max="20" width="0.88671875" customWidth="1"/>
    <col min="21" max="21" width="5.88671875" customWidth="1"/>
    <col min="22" max="22" width="8.88671875" style="12" customWidth="1"/>
    <col min="23" max="23" width="0.88671875" customWidth="1"/>
    <col min="24" max="24" width="5.88671875" customWidth="1"/>
    <col min="25" max="25" width="8.88671875" style="12" customWidth="1"/>
    <col min="26" max="26" width="0.88671875" customWidth="1"/>
    <col min="27" max="27" width="5.88671875" customWidth="1"/>
    <col min="28" max="28" width="8.88671875" style="12" customWidth="1"/>
    <col min="29" max="29" width="0.88671875" customWidth="1"/>
    <col min="30" max="30" width="5.88671875" style="36" customWidth="1"/>
    <col min="31" max="31" width="8.88671875" style="12" customWidth="1"/>
    <col min="32" max="32" width="11.88671875" style="12" customWidth="1"/>
  </cols>
  <sheetData>
    <row r="1" spans="1:32" s="2" customFormat="1" ht="13.8" thickBot="1">
      <c r="A1" s="105" t="s">
        <v>166</v>
      </c>
      <c r="B1" s="106"/>
      <c r="C1" s="95" t="s">
        <v>0</v>
      </c>
      <c r="D1" s="96" t="s">
        <v>169</v>
      </c>
      <c r="E1" s="48"/>
      <c r="F1" s="104" t="s">
        <v>156</v>
      </c>
      <c r="G1" s="104" t="s">
        <v>1</v>
      </c>
      <c r="I1" s="103" t="s">
        <v>157</v>
      </c>
      <c r="J1" s="103"/>
      <c r="K1" s="99"/>
      <c r="L1" s="103" t="s">
        <v>158</v>
      </c>
      <c r="M1" s="103"/>
      <c r="N1" s="100"/>
      <c r="O1" s="103" t="s">
        <v>159</v>
      </c>
      <c r="P1" s="103"/>
      <c r="Q1" s="100"/>
      <c r="R1" s="103" t="s">
        <v>160</v>
      </c>
      <c r="S1" s="103"/>
      <c r="T1" s="100"/>
      <c r="U1" s="103" t="s">
        <v>161</v>
      </c>
      <c r="V1" s="103"/>
      <c r="W1" s="100"/>
      <c r="X1" s="103" t="s">
        <v>162</v>
      </c>
      <c r="Y1" s="103"/>
      <c r="Z1" s="100"/>
      <c r="AA1" s="103" t="s">
        <v>163</v>
      </c>
      <c r="AB1" s="103"/>
      <c r="AC1" s="99"/>
      <c r="AD1" s="103" t="s">
        <v>164</v>
      </c>
      <c r="AE1" s="103"/>
      <c r="AF1" s="103"/>
    </row>
    <row r="2" spans="1:32" s="2" customFormat="1" ht="14.4" thickTop="1" thickBot="1">
      <c r="A2" s="105" t="s">
        <v>167</v>
      </c>
      <c r="B2" s="106"/>
      <c r="C2" s="95" t="s">
        <v>2</v>
      </c>
      <c r="D2" s="97" t="s">
        <v>23</v>
      </c>
      <c r="E2" s="48"/>
      <c r="F2" s="8"/>
      <c r="G2" s="8"/>
      <c r="I2" s="77" t="s">
        <v>3</v>
      </c>
      <c r="J2" s="31">
        <v>110</v>
      </c>
      <c r="L2" s="77" t="s">
        <v>3</v>
      </c>
      <c r="M2" s="31">
        <v>105</v>
      </c>
      <c r="N2" s="5"/>
      <c r="O2" s="77" t="s">
        <v>3</v>
      </c>
      <c r="P2" s="31">
        <v>105</v>
      </c>
      <c r="Q2" s="6"/>
      <c r="R2" s="77" t="s">
        <v>3</v>
      </c>
      <c r="S2" s="31">
        <v>90</v>
      </c>
      <c r="T2" s="5"/>
      <c r="U2" s="77" t="s">
        <v>3</v>
      </c>
      <c r="V2" s="31">
        <v>90</v>
      </c>
      <c r="W2" s="5"/>
      <c r="X2" s="77" t="s">
        <v>3</v>
      </c>
      <c r="Y2" s="31">
        <v>90</v>
      </c>
      <c r="Z2" s="6"/>
      <c r="AA2" s="77" t="s">
        <v>3</v>
      </c>
      <c r="AB2" s="31">
        <v>76</v>
      </c>
      <c r="AD2" s="34" t="s">
        <v>4</v>
      </c>
      <c r="AE2" s="14" t="s">
        <v>165</v>
      </c>
      <c r="AF2" s="8" t="s">
        <v>156</v>
      </c>
    </row>
    <row r="3" spans="1:32" s="2" customFormat="1" ht="40.200000000000003" thickBot="1">
      <c r="A3" s="105" t="s">
        <v>168</v>
      </c>
      <c r="B3" s="106"/>
      <c r="C3" s="95" t="s">
        <v>171</v>
      </c>
      <c r="D3" s="101" t="s">
        <v>170</v>
      </c>
      <c r="E3" s="50"/>
      <c r="F3" s="77" t="s">
        <v>3</v>
      </c>
      <c r="G3" s="30">
        <f>SUM(G5:G6)</f>
        <v>0</v>
      </c>
      <c r="I3" s="3"/>
      <c r="J3" s="10"/>
      <c r="L3" s="3"/>
      <c r="M3" s="10"/>
      <c r="O3" s="3"/>
      <c r="P3" s="10"/>
      <c r="Q3" s="6"/>
      <c r="R3" s="3"/>
      <c r="S3" s="10"/>
      <c r="U3" s="3"/>
      <c r="V3" s="10"/>
      <c r="X3" s="3"/>
      <c r="Y3" s="10"/>
      <c r="Z3" s="6"/>
      <c r="AA3" s="3"/>
      <c r="AB3" s="10"/>
      <c r="AD3" s="51"/>
      <c r="AE3" s="15"/>
      <c r="AF3" s="17"/>
    </row>
    <row r="4" spans="1:32" s="2" customFormat="1">
      <c r="A4" s="52"/>
      <c r="B4" s="53"/>
      <c r="C4" s="54" t="s">
        <v>5</v>
      </c>
      <c r="D4" s="54"/>
      <c r="E4" s="48"/>
      <c r="F4" s="55">
        <f>SUBTOTAL(9,F9:F849)</f>
        <v>0</v>
      </c>
      <c r="G4" s="55"/>
      <c r="H4" s="56"/>
      <c r="I4" s="55">
        <f>SUBTOTAL(9,I9:I849)</f>
        <v>0</v>
      </c>
      <c r="J4" s="13"/>
      <c r="K4" s="56"/>
      <c r="L4" s="55">
        <f>SUBTOTAL(9,L9:L849)</f>
        <v>0</v>
      </c>
      <c r="M4" s="13"/>
      <c r="N4" s="56"/>
      <c r="O4" s="55">
        <f>SUBTOTAL(9,O9:O849)</f>
        <v>0</v>
      </c>
      <c r="P4" s="13"/>
      <c r="Q4" s="20"/>
      <c r="R4" s="55">
        <f>SUBTOTAL(9,R9:R849)</f>
        <v>0</v>
      </c>
      <c r="S4" s="13"/>
      <c r="T4" s="56"/>
      <c r="U4" s="55">
        <f>SUBTOTAL(9,U9:U849)</f>
        <v>0</v>
      </c>
      <c r="V4" s="13"/>
      <c r="W4" s="56"/>
      <c r="X4" s="55">
        <f>SUBTOTAL(9,X9:X849)</f>
        <v>0</v>
      </c>
      <c r="Y4" s="13"/>
      <c r="Z4" s="20"/>
      <c r="AA4" s="55">
        <f>SUBTOTAL(9,AA9:AA849)</f>
        <v>0</v>
      </c>
      <c r="AB4" s="13"/>
      <c r="AC4" s="56"/>
      <c r="AD4" s="35"/>
      <c r="AE4" s="16"/>
      <c r="AF4" s="13"/>
    </row>
    <row r="5" spans="1:32" s="2" customFormat="1">
      <c r="A5" s="52"/>
      <c r="B5" s="53"/>
      <c r="C5" s="54" t="s">
        <v>6</v>
      </c>
      <c r="D5" s="54"/>
      <c r="E5" s="48"/>
      <c r="F5" s="55"/>
      <c r="G5" s="9">
        <f>SUM(I5:AB5)</f>
        <v>0</v>
      </c>
      <c r="H5" s="56"/>
      <c r="I5" s="55"/>
      <c r="J5" s="13">
        <f>SUBTOTAL(9,J9:J849)</f>
        <v>0</v>
      </c>
      <c r="K5" s="56"/>
      <c r="L5" s="55"/>
      <c r="M5" s="13">
        <f>SUBTOTAL(9,M9:M849)</f>
        <v>0</v>
      </c>
      <c r="N5" s="56"/>
      <c r="O5" s="55"/>
      <c r="P5" s="13">
        <f>SUBTOTAL(9,P9:P849)</f>
        <v>0</v>
      </c>
      <c r="Q5" s="20"/>
      <c r="R5" s="55"/>
      <c r="S5" s="13">
        <f>SUBTOTAL(9,S9:S849)</f>
        <v>0</v>
      </c>
      <c r="T5" s="56"/>
      <c r="U5" s="55"/>
      <c r="V5" s="13">
        <f>SUBTOTAL(9,V9:V849)</f>
        <v>0</v>
      </c>
      <c r="W5" s="56"/>
      <c r="X5" s="55"/>
      <c r="Y5" s="13">
        <f>SUBTOTAL(9,Y9:Y849)</f>
        <v>0</v>
      </c>
      <c r="Z5" s="20"/>
      <c r="AA5" s="55"/>
      <c r="AB5" s="13">
        <f>SUBTOTAL(9,AB9:AB849)</f>
        <v>0</v>
      </c>
      <c r="AC5" s="56"/>
      <c r="AD5" s="35"/>
      <c r="AE5" s="16"/>
      <c r="AF5" s="13"/>
    </row>
    <row r="6" spans="1:32" s="2" customFormat="1">
      <c r="A6" s="52"/>
      <c r="B6" s="53"/>
      <c r="C6" s="54" t="s">
        <v>7</v>
      </c>
      <c r="D6" s="54"/>
      <c r="E6" s="48"/>
      <c r="F6" s="55"/>
      <c r="G6" s="9">
        <f>AF6</f>
        <v>0</v>
      </c>
      <c r="H6" s="56"/>
      <c r="I6" s="55"/>
      <c r="J6" s="13"/>
      <c r="K6" s="56"/>
      <c r="L6" s="55"/>
      <c r="M6" s="13"/>
      <c r="N6" s="56"/>
      <c r="O6" s="55"/>
      <c r="P6" s="13"/>
      <c r="Q6" s="20"/>
      <c r="R6" s="55"/>
      <c r="S6" s="13"/>
      <c r="T6" s="56"/>
      <c r="U6" s="55"/>
      <c r="V6" s="13"/>
      <c r="W6" s="56"/>
      <c r="X6" s="55"/>
      <c r="Y6" s="13"/>
      <c r="Z6" s="20"/>
      <c r="AA6" s="55"/>
      <c r="AB6" s="13"/>
      <c r="AC6" s="56"/>
      <c r="AD6" s="35"/>
      <c r="AE6" s="16"/>
      <c r="AF6" s="13">
        <f>SUBTOTAL(9,AF9:AF849)</f>
        <v>0</v>
      </c>
    </row>
    <row r="7" spans="1:32" s="2" customFormat="1">
      <c r="A7" s="102" t="s">
        <v>8</v>
      </c>
      <c r="B7" s="102"/>
      <c r="C7" s="54"/>
      <c r="D7" s="78" t="s">
        <v>9</v>
      </c>
      <c r="E7" s="48"/>
      <c r="F7" s="55"/>
      <c r="G7" s="9"/>
      <c r="H7" s="56"/>
      <c r="I7" s="55"/>
      <c r="J7" s="13"/>
      <c r="K7" s="56"/>
      <c r="L7" s="55"/>
      <c r="M7" s="13"/>
      <c r="N7" s="56"/>
      <c r="O7" s="55"/>
      <c r="P7" s="13"/>
      <c r="Q7" s="20"/>
      <c r="R7" s="55"/>
      <c r="S7" s="13"/>
      <c r="T7" s="56"/>
      <c r="U7" s="55"/>
      <c r="V7" s="13"/>
      <c r="W7" s="56"/>
      <c r="X7" s="55"/>
      <c r="Y7" s="13"/>
      <c r="Z7" s="20"/>
      <c r="AA7" s="55"/>
      <c r="AB7" s="13"/>
      <c r="AC7" s="56"/>
      <c r="AD7" s="35"/>
      <c r="AE7" s="16"/>
      <c r="AF7" s="13"/>
    </row>
    <row r="8" spans="1:32" s="2" customFormat="1" ht="13.8" thickBot="1">
      <c r="A8" s="49"/>
      <c r="C8" s="48"/>
      <c r="D8" s="48"/>
      <c r="E8" s="48"/>
      <c r="F8" s="3"/>
      <c r="G8" s="10"/>
      <c r="I8" s="3"/>
      <c r="J8" s="10"/>
      <c r="L8" s="3"/>
      <c r="M8" s="10"/>
      <c r="O8" s="3"/>
      <c r="P8" s="10"/>
      <c r="Q8" s="6"/>
      <c r="R8" s="3"/>
      <c r="S8" s="10"/>
      <c r="U8" s="3"/>
      <c r="V8" s="10"/>
      <c r="X8" s="3"/>
      <c r="Y8" s="10"/>
      <c r="Z8" s="6"/>
      <c r="AA8" s="3"/>
      <c r="AB8" s="10"/>
      <c r="AD8" s="57"/>
      <c r="AE8" s="37"/>
      <c r="AF8" s="10"/>
    </row>
    <row r="9" spans="1:32" s="61" customFormat="1" ht="14.4" thickTop="1" thickBot="1">
      <c r="A9" s="58" t="s">
        <v>10</v>
      </c>
      <c r="B9" s="59"/>
      <c r="C9" s="60" t="str">
        <f>CONCATENATE("Project Management - ",D2)</f>
        <v>Project Management - PrkzZm</v>
      </c>
      <c r="D9" s="60"/>
      <c r="E9" s="60"/>
      <c r="F9" s="32">
        <f>SUBTOTAL(9,F11:F34)</f>
        <v>0</v>
      </c>
      <c r="G9" s="33">
        <f>SUBTOTAL(9,G11:G34)</f>
        <v>0</v>
      </c>
      <c r="H9" s="59"/>
      <c r="I9" s="59">
        <f>SUBTOTAL(9,I11:I34)</f>
        <v>0</v>
      </c>
      <c r="J9" s="11">
        <f>SUBTOTAL(9,J11:J34)</f>
        <v>0</v>
      </c>
      <c r="K9" s="59"/>
      <c r="L9" s="59">
        <f>SUBTOTAL(9,L11:L34)</f>
        <v>0</v>
      </c>
      <c r="M9" s="11">
        <f>SUBTOTAL(9,M11:M34)</f>
        <v>0</v>
      </c>
      <c r="O9" s="59">
        <f>SUBTOTAL(9,O11:O34)</f>
        <v>0</v>
      </c>
      <c r="P9" s="11">
        <f>SUBTOTAL(9,P11:P34)</f>
        <v>0</v>
      </c>
      <c r="Q9" s="7"/>
      <c r="R9" s="59">
        <f>SUBTOTAL(9,R11:R34)</f>
        <v>0</v>
      </c>
      <c r="S9" s="11">
        <f>SUBTOTAL(9,S11:S34)</f>
        <v>0</v>
      </c>
      <c r="U9" s="59">
        <f>SUBTOTAL(9,U11:U34)</f>
        <v>0</v>
      </c>
      <c r="V9" s="11">
        <f>SUBTOTAL(9,V11:V34)</f>
        <v>0</v>
      </c>
      <c r="X9" s="59">
        <f>SUBTOTAL(9,X11:X34)</f>
        <v>0</v>
      </c>
      <c r="Y9" s="11">
        <f>SUBTOTAL(9,Y11:Y34)</f>
        <v>0</v>
      </c>
      <c r="Z9" s="7"/>
      <c r="AA9" s="59">
        <f>SUBTOTAL(9,AA11:AA34)</f>
        <v>0</v>
      </c>
      <c r="AB9" s="11">
        <f>SUBTOTAL(9,AB11:AB34)</f>
        <v>0</v>
      </c>
      <c r="AD9" s="62"/>
      <c r="AE9" s="38"/>
      <c r="AF9" s="33">
        <f>SUBTOTAL(9,AF11:AF34)</f>
        <v>0</v>
      </c>
    </row>
    <row r="10" spans="1:32" s="66" customFormat="1" ht="13.8" thickTop="1">
      <c r="A10" s="63" t="str">
        <f>A9</f>
        <v>PM</v>
      </c>
      <c r="B10" s="64"/>
      <c r="C10" s="65" t="s">
        <v>24</v>
      </c>
      <c r="D10" s="65"/>
      <c r="E10" s="65"/>
      <c r="F10" s="64">
        <f>SUBTOTAL(9,F11:F27)</f>
        <v>0</v>
      </c>
      <c r="G10" s="22">
        <f>SUBTOTAL(9,G11:G27)</f>
        <v>0</v>
      </c>
      <c r="H10" s="64"/>
      <c r="I10" s="64">
        <f>SUBTOTAL(9,I11:I27)</f>
        <v>0</v>
      </c>
      <c r="J10" s="22">
        <f>SUBTOTAL(9,J11:J27)</f>
        <v>0</v>
      </c>
      <c r="K10" s="64"/>
      <c r="L10" s="64">
        <f>SUBTOTAL(9,L11:L27)</f>
        <v>0</v>
      </c>
      <c r="M10" s="22">
        <f>SUBTOTAL(9,M11:M27)</f>
        <v>0</v>
      </c>
      <c r="O10" s="64">
        <f>SUBTOTAL(9,O11:O27)</f>
        <v>0</v>
      </c>
      <c r="P10" s="22">
        <f>SUBTOTAL(9,P11:P27)</f>
        <v>0</v>
      </c>
      <c r="Q10" s="21"/>
      <c r="R10" s="64">
        <f>SUBTOTAL(9,R11:R27)</f>
        <v>0</v>
      </c>
      <c r="S10" s="22">
        <f>SUBTOTAL(9,S11:S27)</f>
        <v>0</v>
      </c>
      <c r="U10" s="64">
        <f>SUBTOTAL(9,U11:U27)</f>
        <v>0</v>
      </c>
      <c r="V10" s="22">
        <f>SUBTOTAL(9,V11:V27)</f>
        <v>0</v>
      </c>
      <c r="X10" s="64">
        <f>SUBTOTAL(9,X11:X27)</f>
        <v>0</v>
      </c>
      <c r="Y10" s="22">
        <f>SUBTOTAL(9,Y11:Y27)</f>
        <v>0</v>
      </c>
      <c r="Z10" s="21"/>
      <c r="AA10" s="64">
        <f>SUBTOTAL(9,AA11:AA27)</f>
        <v>0</v>
      </c>
      <c r="AB10" s="22">
        <f>SUBTOTAL(9,AB11:AB27)</f>
        <v>0</v>
      </c>
      <c r="AD10" s="67"/>
      <c r="AE10" s="28"/>
      <c r="AF10" s="27"/>
    </row>
    <row r="11" spans="1:32" s="71" customFormat="1" outlineLevel="1">
      <c r="A11" s="68" t="str">
        <f>A9</f>
        <v>PM</v>
      </c>
      <c r="B11" s="69">
        <v>1</v>
      </c>
      <c r="C11" s="70" t="s">
        <v>25</v>
      </c>
      <c r="D11" s="70"/>
      <c r="E11" s="70"/>
      <c r="F11" s="18">
        <f>I11+L11+O11+R11+U11+X11+AA11</f>
        <v>0</v>
      </c>
      <c r="G11" s="19">
        <f t="shared" ref="G11:G27" si="0">J11+M11+P11+S11+V11+Y11+AB11+AF11</f>
        <v>0</v>
      </c>
      <c r="I11" s="23"/>
      <c r="J11" s="24">
        <f t="shared" ref="J11:J27" si="1">I11*J$2</f>
        <v>0</v>
      </c>
      <c r="L11" s="23"/>
      <c r="M11" s="24">
        <f>L11*M$2</f>
        <v>0</v>
      </c>
      <c r="N11" s="72"/>
      <c r="O11" s="23"/>
      <c r="P11" s="24">
        <f>O11*P$2</f>
        <v>0</v>
      </c>
      <c r="Q11" s="25"/>
      <c r="R11" s="23"/>
      <c r="S11" s="24">
        <f>R11*S$2</f>
        <v>0</v>
      </c>
      <c r="T11" s="72"/>
      <c r="U11" s="23"/>
      <c r="V11" s="24">
        <f>U11*V$2</f>
        <v>0</v>
      </c>
      <c r="W11" s="72"/>
      <c r="X11" s="23"/>
      <c r="Y11" s="24">
        <f>X11*Y$2</f>
        <v>0</v>
      </c>
      <c r="Z11" s="25"/>
      <c r="AA11" s="23"/>
      <c r="AB11" s="24">
        <f>AA11*AB$2</f>
        <v>0</v>
      </c>
      <c r="AD11" s="73"/>
      <c r="AE11" s="29"/>
      <c r="AF11" s="26"/>
    </row>
    <row r="12" spans="1:32" s="71" customFormat="1" outlineLevel="1">
      <c r="A12" s="68" t="str">
        <f>A9</f>
        <v>PM</v>
      </c>
      <c r="B12" s="69">
        <v>2</v>
      </c>
      <c r="C12" s="70" t="s">
        <v>26</v>
      </c>
      <c r="D12" s="70"/>
      <c r="E12" s="70"/>
      <c r="F12" s="18">
        <f t="shared" ref="F12:F34" si="2">I12+L12+O12+R12+U12+X12+AA12</f>
        <v>0</v>
      </c>
      <c r="G12" s="19">
        <f t="shared" si="0"/>
        <v>0</v>
      </c>
      <c r="I12" s="23"/>
      <c r="J12" s="24">
        <f t="shared" si="1"/>
        <v>0</v>
      </c>
      <c r="L12" s="23"/>
      <c r="M12" s="24">
        <f t="shared" ref="M12:M27" si="3">L12*M$2</f>
        <v>0</v>
      </c>
      <c r="N12" s="72"/>
      <c r="O12" s="23"/>
      <c r="P12" s="24">
        <f t="shared" ref="P12:P27" si="4">O12*P$2</f>
        <v>0</v>
      </c>
      <c r="Q12" s="25"/>
      <c r="R12" s="23"/>
      <c r="S12" s="24">
        <f t="shared" ref="S12:S27" si="5">R12*S$2</f>
        <v>0</v>
      </c>
      <c r="T12" s="72"/>
      <c r="U12" s="23"/>
      <c r="V12" s="24">
        <f t="shared" ref="V12:V27" si="6">U12*V$2</f>
        <v>0</v>
      </c>
      <c r="W12" s="72"/>
      <c r="X12" s="23"/>
      <c r="Y12" s="24">
        <f t="shared" ref="Y12:Y27" si="7">X12*Y$2</f>
        <v>0</v>
      </c>
      <c r="Z12" s="25"/>
      <c r="AA12" s="23"/>
      <c r="AB12" s="24">
        <f t="shared" ref="AB12:AB27" si="8">AA12*AB$2</f>
        <v>0</v>
      </c>
      <c r="AD12" s="73"/>
      <c r="AE12" s="29"/>
      <c r="AF12" s="26"/>
    </row>
    <row r="13" spans="1:32" s="71" customFormat="1" outlineLevel="1">
      <c r="A13" s="68" t="str">
        <f>A9</f>
        <v>PM</v>
      </c>
      <c r="B13" s="69">
        <v>3</v>
      </c>
      <c r="C13" s="70" t="s">
        <v>27</v>
      </c>
      <c r="D13" s="70"/>
      <c r="E13" s="70"/>
      <c r="F13" s="18">
        <f t="shared" si="2"/>
        <v>0</v>
      </c>
      <c r="G13" s="19">
        <f t="shared" si="0"/>
        <v>0</v>
      </c>
      <c r="I13" s="23"/>
      <c r="J13" s="24">
        <f t="shared" si="1"/>
        <v>0</v>
      </c>
      <c r="L13" s="23"/>
      <c r="M13" s="24">
        <f t="shared" si="3"/>
        <v>0</v>
      </c>
      <c r="N13" s="72"/>
      <c r="O13" s="23"/>
      <c r="P13" s="24">
        <f t="shared" si="4"/>
        <v>0</v>
      </c>
      <c r="Q13" s="25"/>
      <c r="R13" s="23"/>
      <c r="S13" s="24">
        <f t="shared" si="5"/>
        <v>0</v>
      </c>
      <c r="T13" s="72"/>
      <c r="U13" s="23"/>
      <c r="V13" s="24">
        <f t="shared" si="6"/>
        <v>0</v>
      </c>
      <c r="W13" s="72"/>
      <c r="X13" s="23"/>
      <c r="Y13" s="24">
        <f t="shared" si="7"/>
        <v>0</v>
      </c>
      <c r="Z13" s="25"/>
      <c r="AA13" s="23"/>
      <c r="AB13" s="24">
        <f t="shared" si="8"/>
        <v>0</v>
      </c>
      <c r="AD13" s="73"/>
      <c r="AE13" s="29"/>
      <c r="AF13" s="26"/>
    </row>
    <row r="14" spans="1:32" s="71" customFormat="1" outlineLevel="1">
      <c r="A14" s="68" t="str">
        <f>A9</f>
        <v>PM</v>
      </c>
      <c r="B14" s="69">
        <v>4</v>
      </c>
      <c r="C14" s="71" t="s">
        <v>28</v>
      </c>
      <c r="E14" s="70"/>
      <c r="F14" s="18">
        <f t="shared" si="2"/>
        <v>0</v>
      </c>
      <c r="G14" s="19">
        <f t="shared" si="0"/>
        <v>0</v>
      </c>
      <c r="I14" s="23"/>
      <c r="J14" s="24">
        <f t="shared" si="1"/>
        <v>0</v>
      </c>
      <c r="L14" s="23"/>
      <c r="M14" s="24">
        <f t="shared" si="3"/>
        <v>0</v>
      </c>
      <c r="N14" s="72"/>
      <c r="O14" s="23"/>
      <c r="P14" s="24">
        <f t="shared" si="4"/>
        <v>0</v>
      </c>
      <c r="Q14" s="25"/>
      <c r="R14" s="23"/>
      <c r="S14" s="24">
        <f t="shared" si="5"/>
        <v>0</v>
      </c>
      <c r="T14" s="72"/>
      <c r="U14" s="23"/>
      <c r="V14" s="24">
        <f t="shared" si="6"/>
        <v>0</v>
      </c>
      <c r="W14" s="72"/>
      <c r="X14" s="23"/>
      <c r="Y14" s="24">
        <f t="shared" si="7"/>
        <v>0</v>
      </c>
      <c r="Z14" s="25"/>
      <c r="AA14" s="23"/>
      <c r="AB14" s="24">
        <f t="shared" si="8"/>
        <v>0</v>
      </c>
      <c r="AD14" s="73"/>
      <c r="AE14" s="29"/>
      <c r="AF14" s="26"/>
    </row>
    <row r="15" spans="1:32" s="71" customFormat="1" outlineLevel="1">
      <c r="A15" s="68" t="str">
        <f>A9</f>
        <v>PM</v>
      </c>
      <c r="B15" s="69">
        <v>5</v>
      </c>
      <c r="C15" s="71" t="s">
        <v>29</v>
      </c>
      <c r="E15" s="70"/>
      <c r="F15" s="18">
        <f t="shared" si="2"/>
        <v>0</v>
      </c>
      <c r="G15" s="19">
        <f t="shared" si="0"/>
        <v>0</v>
      </c>
      <c r="I15" s="23"/>
      <c r="J15" s="24">
        <f t="shared" si="1"/>
        <v>0</v>
      </c>
      <c r="L15" s="23"/>
      <c r="M15" s="24">
        <f t="shared" si="3"/>
        <v>0</v>
      </c>
      <c r="N15" s="72"/>
      <c r="O15" s="23"/>
      <c r="P15" s="24">
        <f t="shared" si="4"/>
        <v>0</v>
      </c>
      <c r="Q15" s="25"/>
      <c r="R15" s="23"/>
      <c r="S15" s="24">
        <f t="shared" si="5"/>
        <v>0</v>
      </c>
      <c r="T15" s="72"/>
      <c r="U15" s="23"/>
      <c r="V15" s="24">
        <f t="shared" si="6"/>
        <v>0</v>
      </c>
      <c r="W15" s="72"/>
      <c r="X15" s="23"/>
      <c r="Y15" s="24">
        <f t="shared" si="7"/>
        <v>0</v>
      </c>
      <c r="Z15" s="25"/>
      <c r="AA15" s="23"/>
      <c r="AB15" s="24">
        <f t="shared" si="8"/>
        <v>0</v>
      </c>
      <c r="AD15" s="73"/>
      <c r="AE15" s="29"/>
      <c r="AF15" s="26"/>
    </row>
    <row r="16" spans="1:32" s="71" customFormat="1" outlineLevel="1">
      <c r="A16" s="68" t="str">
        <f>A9</f>
        <v>PM</v>
      </c>
      <c r="B16" s="69">
        <v>6</v>
      </c>
      <c r="C16" s="70" t="s">
        <v>30</v>
      </c>
      <c r="D16" s="70"/>
      <c r="E16" s="70"/>
      <c r="F16" s="18">
        <f t="shared" si="2"/>
        <v>0</v>
      </c>
      <c r="G16" s="19">
        <f t="shared" si="0"/>
        <v>0</v>
      </c>
      <c r="I16" s="23"/>
      <c r="J16" s="24">
        <f t="shared" si="1"/>
        <v>0</v>
      </c>
      <c r="L16" s="23"/>
      <c r="M16" s="24">
        <f t="shared" si="3"/>
        <v>0</v>
      </c>
      <c r="N16" s="72"/>
      <c r="O16" s="23"/>
      <c r="P16" s="24">
        <f t="shared" si="4"/>
        <v>0</v>
      </c>
      <c r="Q16" s="25"/>
      <c r="R16" s="23"/>
      <c r="S16" s="24">
        <f t="shared" si="5"/>
        <v>0</v>
      </c>
      <c r="T16" s="72"/>
      <c r="U16" s="23"/>
      <c r="V16" s="24">
        <f t="shared" si="6"/>
        <v>0</v>
      </c>
      <c r="W16" s="72"/>
      <c r="X16" s="23"/>
      <c r="Y16" s="24">
        <f t="shared" si="7"/>
        <v>0</v>
      </c>
      <c r="Z16" s="25"/>
      <c r="AA16" s="23"/>
      <c r="AB16" s="24">
        <f t="shared" si="8"/>
        <v>0</v>
      </c>
      <c r="AD16" s="73"/>
      <c r="AE16" s="29"/>
      <c r="AF16" s="26"/>
    </row>
    <row r="17" spans="1:32" s="71" customFormat="1" outlineLevel="1">
      <c r="A17" s="68" t="str">
        <f>A9</f>
        <v>PM</v>
      </c>
      <c r="B17" s="69">
        <v>7</v>
      </c>
      <c r="C17" s="70" t="s">
        <v>31</v>
      </c>
      <c r="D17" s="70"/>
      <c r="E17" s="70"/>
      <c r="F17" s="18">
        <f t="shared" si="2"/>
        <v>0</v>
      </c>
      <c r="G17" s="19">
        <f t="shared" si="0"/>
        <v>0</v>
      </c>
      <c r="I17" s="23"/>
      <c r="J17" s="24">
        <f t="shared" si="1"/>
        <v>0</v>
      </c>
      <c r="L17" s="23"/>
      <c r="M17" s="24">
        <f t="shared" si="3"/>
        <v>0</v>
      </c>
      <c r="N17" s="72"/>
      <c r="O17" s="23"/>
      <c r="P17" s="24">
        <f t="shared" si="4"/>
        <v>0</v>
      </c>
      <c r="Q17" s="25"/>
      <c r="R17" s="23"/>
      <c r="S17" s="24">
        <f t="shared" si="5"/>
        <v>0</v>
      </c>
      <c r="T17" s="72"/>
      <c r="U17" s="23"/>
      <c r="V17" s="24">
        <f t="shared" si="6"/>
        <v>0</v>
      </c>
      <c r="W17" s="72"/>
      <c r="X17" s="23"/>
      <c r="Y17" s="24">
        <f t="shared" si="7"/>
        <v>0</v>
      </c>
      <c r="Z17" s="25"/>
      <c r="AA17" s="23"/>
      <c r="AB17" s="24">
        <f t="shared" si="8"/>
        <v>0</v>
      </c>
      <c r="AD17" s="73"/>
      <c r="AE17" s="29"/>
      <c r="AF17" s="26"/>
    </row>
    <row r="18" spans="1:32" s="71" customFormat="1" outlineLevel="1">
      <c r="A18" s="68" t="str">
        <f>A9</f>
        <v>PM</v>
      </c>
      <c r="B18" s="69">
        <v>8</v>
      </c>
      <c r="C18" s="79" t="s">
        <v>32</v>
      </c>
      <c r="D18" s="79"/>
      <c r="E18" s="70"/>
      <c r="F18" s="18">
        <f t="shared" si="2"/>
        <v>0</v>
      </c>
      <c r="G18" s="19">
        <f t="shared" si="0"/>
        <v>0</v>
      </c>
      <c r="I18" s="23"/>
      <c r="J18" s="24">
        <f t="shared" si="1"/>
        <v>0</v>
      </c>
      <c r="L18" s="23"/>
      <c r="M18" s="24">
        <f t="shared" si="3"/>
        <v>0</v>
      </c>
      <c r="N18" s="72"/>
      <c r="O18" s="23"/>
      <c r="P18" s="24">
        <f t="shared" si="4"/>
        <v>0</v>
      </c>
      <c r="Q18" s="25"/>
      <c r="R18" s="23"/>
      <c r="S18" s="24">
        <f t="shared" si="5"/>
        <v>0</v>
      </c>
      <c r="T18" s="72"/>
      <c r="U18" s="23"/>
      <c r="V18" s="24">
        <f t="shared" si="6"/>
        <v>0</v>
      </c>
      <c r="W18" s="72"/>
      <c r="X18" s="23"/>
      <c r="Y18" s="24">
        <f t="shared" si="7"/>
        <v>0</v>
      </c>
      <c r="Z18" s="25"/>
      <c r="AA18" s="23"/>
      <c r="AB18" s="24">
        <f t="shared" si="8"/>
        <v>0</v>
      </c>
      <c r="AD18" s="73"/>
      <c r="AE18" s="29"/>
      <c r="AF18" s="26"/>
    </row>
    <row r="19" spans="1:32" s="70" customFormat="1" outlineLevel="1">
      <c r="A19" s="68" t="str">
        <f>A9</f>
        <v>PM</v>
      </c>
      <c r="B19" s="69">
        <v>9</v>
      </c>
      <c r="C19" s="80" t="s">
        <v>33</v>
      </c>
      <c r="D19" s="80"/>
      <c r="F19" s="18">
        <f t="shared" si="2"/>
        <v>0</v>
      </c>
      <c r="G19" s="19">
        <f t="shared" si="0"/>
        <v>0</v>
      </c>
      <c r="I19" s="23"/>
      <c r="J19" s="24">
        <f t="shared" si="1"/>
        <v>0</v>
      </c>
      <c r="L19" s="23"/>
      <c r="M19" s="24">
        <f t="shared" si="3"/>
        <v>0</v>
      </c>
      <c r="O19" s="23"/>
      <c r="P19" s="24">
        <f t="shared" si="4"/>
        <v>0</v>
      </c>
      <c r="R19" s="23"/>
      <c r="S19" s="24">
        <f t="shared" si="5"/>
        <v>0</v>
      </c>
      <c r="U19" s="23"/>
      <c r="V19" s="24">
        <f t="shared" si="6"/>
        <v>0</v>
      </c>
      <c r="X19" s="23"/>
      <c r="Y19" s="24">
        <f t="shared" si="7"/>
        <v>0</v>
      </c>
      <c r="AA19" s="23"/>
      <c r="AB19" s="24">
        <f t="shared" si="8"/>
        <v>0</v>
      </c>
      <c r="AD19" s="73"/>
      <c r="AE19" s="29"/>
      <c r="AF19" s="26"/>
    </row>
    <row r="20" spans="1:32" s="70" customFormat="1" outlineLevel="1">
      <c r="A20" s="68" t="str">
        <f>A9</f>
        <v>PM</v>
      </c>
      <c r="B20" s="69">
        <v>10</v>
      </c>
      <c r="C20" s="80" t="s">
        <v>34</v>
      </c>
      <c r="D20" s="80"/>
      <c r="F20" s="18">
        <f t="shared" si="2"/>
        <v>0</v>
      </c>
      <c r="G20" s="19">
        <f t="shared" si="0"/>
        <v>0</v>
      </c>
      <c r="I20" s="23"/>
      <c r="J20" s="24">
        <f t="shared" si="1"/>
        <v>0</v>
      </c>
      <c r="L20" s="23"/>
      <c r="M20" s="24">
        <f t="shared" si="3"/>
        <v>0</v>
      </c>
      <c r="O20" s="23"/>
      <c r="P20" s="24">
        <f t="shared" si="4"/>
        <v>0</v>
      </c>
      <c r="R20" s="23"/>
      <c r="S20" s="24">
        <f t="shared" si="5"/>
        <v>0</v>
      </c>
      <c r="U20" s="23"/>
      <c r="V20" s="24">
        <f t="shared" si="6"/>
        <v>0</v>
      </c>
      <c r="X20" s="23"/>
      <c r="Y20" s="24">
        <f t="shared" si="7"/>
        <v>0</v>
      </c>
      <c r="AA20" s="23"/>
      <c r="AB20" s="24">
        <f t="shared" si="8"/>
        <v>0</v>
      </c>
      <c r="AD20" s="73"/>
      <c r="AE20" s="29"/>
      <c r="AF20" s="26"/>
    </row>
    <row r="21" spans="1:32" s="70" customFormat="1" outlineLevel="1">
      <c r="A21" s="68" t="str">
        <f>A9</f>
        <v>PM</v>
      </c>
      <c r="B21" s="69">
        <v>11</v>
      </c>
      <c r="C21" s="80" t="s">
        <v>35</v>
      </c>
      <c r="D21" s="80"/>
      <c r="F21" s="18">
        <f t="shared" si="2"/>
        <v>0</v>
      </c>
      <c r="G21" s="19">
        <f t="shared" si="0"/>
        <v>0</v>
      </c>
      <c r="I21" s="23"/>
      <c r="J21" s="24">
        <f t="shared" si="1"/>
        <v>0</v>
      </c>
      <c r="L21" s="23"/>
      <c r="M21" s="24">
        <f t="shared" si="3"/>
        <v>0</v>
      </c>
      <c r="O21" s="23"/>
      <c r="P21" s="24">
        <f t="shared" si="4"/>
        <v>0</v>
      </c>
      <c r="R21" s="23"/>
      <c r="S21" s="24">
        <f t="shared" si="5"/>
        <v>0</v>
      </c>
      <c r="U21" s="23"/>
      <c r="V21" s="24">
        <f t="shared" si="6"/>
        <v>0</v>
      </c>
      <c r="X21" s="23"/>
      <c r="Y21" s="24">
        <f t="shared" si="7"/>
        <v>0</v>
      </c>
      <c r="AA21" s="23"/>
      <c r="AB21" s="24">
        <f t="shared" si="8"/>
        <v>0</v>
      </c>
      <c r="AD21" s="73"/>
      <c r="AE21" s="29"/>
      <c r="AF21" s="26"/>
    </row>
    <row r="22" spans="1:32" s="70" customFormat="1" outlineLevel="1">
      <c r="A22" s="68" t="str">
        <f>A9</f>
        <v>PM</v>
      </c>
      <c r="B22" s="69">
        <v>12</v>
      </c>
      <c r="C22" s="80" t="s">
        <v>36</v>
      </c>
      <c r="D22" s="80"/>
      <c r="F22" s="18">
        <f t="shared" si="2"/>
        <v>0</v>
      </c>
      <c r="G22" s="19">
        <f t="shared" si="0"/>
        <v>0</v>
      </c>
      <c r="I22" s="23"/>
      <c r="J22" s="24">
        <f t="shared" si="1"/>
        <v>0</v>
      </c>
      <c r="L22" s="23"/>
      <c r="M22" s="24">
        <f t="shared" si="3"/>
        <v>0</v>
      </c>
      <c r="O22" s="23"/>
      <c r="P22" s="24">
        <f t="shared" si="4"/>
        <v>0</v>
      </c>
      <c r="R22" s="23"/>
      <c r="S22" s="24">
        <f t="shared" si="5"/>
        <v>0</v>
      </c>
      <c r="U22" s="23"/>
      <c r="V22" s="24">
        <f t="shared" si="6"/>
        <v>0</v>
      </c>
      <c r="X22" s="23"/>
      <c r="Y22" s="24">
        <f t="shared" si="7"/>
        <v>0</v>
      </c>
      <c r="AA22" s="23"/>
      <c r="AB22" s="24">
        <f t="shared" si="8"/>
        <v>0</v>
      </c>
      <c r="AD22" s="73"/>
      <c r="AE22" s="29"/>
      <c r="AF22" s="26"/>
    </row>
    <row r="23" spans="1:32" s="70" customFormat="1" outlineLevel="1">
      <c r="A23" s="68" t="str">
        <f>A10</f>
        <v>PM</v>
      </c>
      <c r="B23" s="69">
        <v>13</v>
      </c>
      <c r="C23" s="80" t="s">
        <v>37</v>
      </c>
      <c r="D23" s="80"/>
      <c r="F23" s="18">
        <f t="shared" si="2"/>
        <v>0</v>
      </c>
      <c r="G23" s="19">
        <f t="shared" si="0"/>
        <v>0</v>
      </c>
      <c r="I23" s="23"/>
      <c r="J23" s="24">
        <f t="shared" si="1"/>
        <v>0</v>
      </c>
      <c r="L23" s="23"/>
      <c r="M23" s="24">
        <f t="shared" si="3"/>
        <v>0</v>
      </c>
      <c r="O23" s="23"/>
      <c r="P23" s="24">
        <f t="shared" si="4"/>
        <v>0</v>
      </c>
      <c r="R23" s="23"/>
      <c r="S23" s="24">
        <f t="shared" si="5"/>
        <v>0</v>
      </c>
      <c r="U23" s="23"/>
      <c r="V23" s="24">
        <f t="shared" si="6"/>
        <v>0</v>
      </c>
      <c r="X23" s="23"/>
      <c r="Y23" s="24">
        <f t="shared" si="7"/>
        <v>0</v>
      </c>
      <c r="AA23" s="23"/>
      <c r="AB23" s="24">
        <f t="shared" si="8"/>
        <v>0</v>
      </c>
      <c r="AD23" s="73"/>
      <c r="AE23" s="29"/>
      <c r="AF23" s="26"/>
    </row>
    <row r="24" spans="1:32" s="70" customFormat="1" outlineLevel="1">
      <c r="A24" s="68" t="str">
        <f>A11</f>
        <v>PM</v>
      </c>
      <c r="B24" s="69">
        <v>14</v>
      </c>
      <c r="C24" s="80" t="s">
        <v>38</v>
      </c>
      <c r="D24" s="80"/>
      <c r="F24" s="18">
        <f t="shared" si="2"/>
        <v>0</v>
      </c>
      <c r="G24" s="19">
        <f t="shared" si="0"/>
        <v>0</v>
      </c>
      <c r="I24" s="23"/>
      <c r="J24" s="24">
        <f t="shared" si="1"/>
        <v>0</v>
      </c>
      <c r="L24" s="23"/>
      <c r="M24" s="24">
        <f t="shared" si="3"/>
        <v>0</v>
      </c>
      <c r="O24" s="23"/>
      <c r="P24" s="24">
        <f t="shared" si="4"/>
        <v>0</v>
      </c>
      <c r="R24" s="23"/>
      <c r="S24" s="24">
        <f t="shared" si="5"/>
        <v>0</v>
      </c>
      <c r="U24" s="23"/>
      <c r="V24" s="24">
        <f t="shared" si="6"/>
        <v>0</v>
      </c>
      <c r="X24" s="23"/>
      <c r="Y24" s="24">
        <f t="shared" si="7"/>
        <v>0</v>
      </c>
      <c r="AA24" s="23"/>
      <c r="AB24" s="24">
        <f t="shared" si="8"/>
        <v>0</v>
      </c>
      <c r="AD24" s="73"/>
      <c r="AE24" s="29"/>
      <c r="AF24" s="26"/>
    </row>
    <row r="25" spans="1:32" s="70" customFormat="1" outlineLevel="1">
      <c r="A25" s="68" t="str">
        <f>A12</f>
        <v>PM</v>
      </c>
      <c r="B25" s="69">
        <v>15</v>
      </c>
      <c r="C25" s="80" t="s">
        <v>39</v>
      </c>
      <c r="D25" s="80"/>
      <c r="F25" s="18">
        <f t="shared" si="2"/>
        <v>0</v>
      </c>
      <c r="G25" s="19">
        <f t="shared" si="0"/>
        <v>0</v>
      </c>
      <c r="I25" s="23"/>
      <c r="J25" s="24">
        <f t="shared" si="1"/>
        <v>0</v>
      </c>
      <c r="L25" s="23"/>
      <c r="M25" s="24">
        <f t="shared" si="3"/>
        <v>0</v>
      </c>
      <c r="O25" s="23"/>
      <c r="P25" s="24">
        <f t="shared" si="4"/>
        <v>0</v>
      </c>
      <c r="R25" s="23"/>
      <c r="S25" s="24">
        <f t="shared" si="5"/>
        <v>0</v>
      </c>
      <c r="U25" s="23"/>
      <c r="V25" s="24">
        <f t="shared" si="6"/>
        <v>0</v>
      </c>
      <c r="X25" s="23"/>
      <c r="Y25" s="24">
        <f t="shared" si="7"/>
        <v>0</v>
      </c>
      <c r="AA25" s="23"/>
      <c r="AB25" s="24">
        <f t="shared" si="8"/>
        <v>0</v>
      </c>
      <c r="AD25" s="73"/>
      <c r="AE25" s="29"/>
      <c r="AF25" s="26"/>
    </row>
    <row r="26" spans="1:32" s="70" customFormat="1" outlineLevel="1">
      <c r="A26" s="68" t="str">
        <f>A9</f>
        <v>PM</v>
      </c>
      <c r="B26" s="69">
        <v>16</v>
      </c>
      <c r="C26" s="80" t="s">
        <v>40</v>
      </c>
      <c r="D26" s="80"/>
      <c r="F26" s="18">
        <f t="shared" si="2"/>
        <v>0</v>
      </c>
      <c r="G26" s="19">
        <f t="shared" si="0"/>
        <v>0</v>
      </c>
      <c r="I26" s="23"/>
      <c r="J26" s="24">
        <f t="shared" si="1"/>
        <v>0</v>
      </c>
      <c r="L26" s="23"/>
      <c r="M26" s="24">
        <f t="shared" si="3"/>
        <v>0</v>
      </c>
      <c r="O26" s="23"/>
      <c r="P26" s="24">
        <f t="shared" si="4"/>
        <v>0</v>
      </c>
      <c r="R26" s="23"/>
      <c r="S26" s="24">
        <f t="shared" si="5"/>
        <v>0</v>
      </c>
      <c r="U26" s="23"/>
      <c r="V26" s="24">
        <f t="shared" si="6"/>
        <v>0</v>
      </c>
      <c r="X26" s="23"/>
      <c r="Y26" s="24">
        <f t="shared" si="7"/>
        <v>0</v>
      </c>
      <c r="AA26" s="23"/>
      <c r="AB26" s="24">
        <f t="shared" si="8"/>
        <v>0</v>
      </c>
      <c r="AD26" s="73"/>
      <c r="AE26" s="29"/>
      <c r="AF26" s="26"/>
    </row>
    <row r="27" spans="1:32" s="70" customFormat="1" outlineLevel="1">
      <c r="A27" s="68" t="str">
        <f>A9</f>
        <v>PM</v>
      </c>
      <c r="B27" s="69">
        <v>17</v>
      </c>
      <c r="C27" s="70" t="s">
        <v>11</v>
      </c>
      <c r="F27" s="18">
        <f t="shared" si="2"/>
        <v>0</v>
      </c>
      <c r="G27" s="19">
        <f t="shared" si="0"/>
        <v>0</v>
      </c>
      <c r="I27" s="23"/>
      <c r="J27" s="24">
        <f t="shared" si="1"/>
        <v>0</v>
      </c>
      <c r="L27" s="23"/>
      <c r="M27" s="24">
        <f t="shared" si="3"/>
        <v>0</v>
      </c>
      <c r="O27" s="23"/>
      <c r="P27" s="24">
        <f t="shared" si="4"/>
        <v>0</v>
      </c>
      <c r="R27" s="23"/>
      <c r="S27" s="24">
        <f t="shared" si="5"/>
        <v>0</v>
      </c>
      <c r="U27" s="23"/>
      <c r="V27" s="24">
        <f t="shared" si="6"/>
        <v>0</v>
      </c>
      <c r="X27" s="23"/>
      <c r="Y27" s="24">
        <f t="shared" si="7"/>
        <v>0</v>
      </c>
      <c r="AA27" s="23"/>
      <c r="AB27" s="24">
        <f t="shared" si="8"/>
        <v>0</v>
      </c>
      <c r="AD27" s="73"/>
      <c r="AE27" s="29"/>
      <c r="AF27" s="26"/>
    </row>
    <row r="28" spans="1:32" s="66" customFormat="1">
      <c r="A28" s="63" t="str">
        <f>A9</f>
        <v>PM</v>
      </c>
      <c r="B28" s="64"/>
      <c r="C28" s="65" t="s">
        <v>41</v>
      </c>
      <c r="D28" s="65"/>
      <c r="E28" s="65"/>
      <c r="F28" s="64">
        <f>SUBTOTAL(9,F29:F34)</f>
        <v>0</v>
      </c>
      <c r="G28" s="22">
        <f>SUBTOTAL(9,G29:G34)</f>
        <v>0</v>
      </c>
      <c r="H28" s="64"/>
      <c r="I28" s="64"/>
      <c r="J28" s="27"/>
      <c r="K28" s="64"/>
      <c r="L28" s="64"/>
      <c r="M28" s="27"/>
      <c r="O28" s="64"/>
      <c r="P28" s="27"/>
      <c r="Q28" s="21"/>
      <c r="R28" s="64"/>
      <c r="S28" s="27"/>
      <c r="U28" s="64"/>
      <c r="V28" s="27"/>
      <c r="X28" s="64"/>
      <c r="Y28" s="27"/>
      <c r="Z28" s="21"/>
      <c r="AA28" s="64"/>
      <c r="AB28" s="27"/>
      <c r="AD28" s="67"/>
      <c r="AE28" s="28"/>
      <c r="AF28" s="27">
        <f>SUBTOTAL(9,AF29:AF34)</f>
        <v>0</v>
      </c>
    </row>
    <row r="29" spans="1:32" outlineLevel="1">
      <c r="A29" s="68" t="str">
        <f>A9</f>
        <v>PM</v>
      </c>
      <c r="B29" s="4">
        <v>15</v>
      </c>
      <c r="C29" s="1"/>
      <c r="D29" s="1"/>
      <c r="F29" s="18">
        <f t="shared" si="2"/>
        <v>0</v>
      </c>
      <c r="G29" s="19">
        <f t="shared" ref="G29:G34" si="9">J29+M29+P29+S29+V29+Y29+AB29+AF29</f>
        <v>0</v>
      </c>
      <c r="I29" s="3"/>
      <c r="J29" s="10"/>
      <c r="L29" s="3"/>
      <c r="M29" s="10"/>
      <c r="O29" s="3"/>
      <c r="P29" s="10"/>
      <c r="R29" s="3"/>
      <c r="S29" s="10"/>
      <c r="U29" s="3"/>
      <c r="V29" s="10"/>
      <c r="X29" s="3"/>
      <c r="Y29" s="10"/>
      <c r="AA29" s="3"/>
      <c r="AB29" s="10"/>
      <c r="AD29" s="75"/>
      <c r="AE29" s="39">
        <v>0</v>
      </c>
      <c r="AF29" s="40">
        <f t="shared" ref="AF29:AF34" si="10">AD29*AE29</f>
        <v>0</v>
      </c>
    </row>
    <row r="30" spans="1:32" outlineLevel="1">
      <c r="A30" s="68" t="str">
        <f>A9</f>
        <v>PM</v>
      </c>
      <c r="B30" s="4">
        <v>16</v>
      </c>
      <c r="F30" s="18">
        <f t="shared" si="2"/>
        <v>0</v>
      </c>
      <c r="G30" s="19">
        <f t="shared" si="9"/>
        <v>0</v>
      </c>
      <c r="I30" s="3"/>
      <c r="J30" s="10"/>
      <c r="L30" s="3"/>
      <c r="M30" s="10"/>
      <c r="O30" s="3"/>
      <c r="P30" s="10"/>
      <c r="R30" s="3"/>
      <c r="S30" s="10"/>
      <c r="U30" s="3"/>
      <c r="V30" s="10"/>
      <c r="X30" s="3"/>
      <c r="Y30" s="10"/>
      <c r="AA30" s="3"/>
      <c r="AB30" s="10"/>
      <c r="AD30" s="75"/>
      <c r="AE30" s="39">
        <v>0</v>
      </c>
      <c r="AF30" s="40">
        <f t="shared" si="10"/>
        <v>0</v>
      </c>
    </row>
    <row r="31" spans="1:32" outlineLevel="1">
      <c r="A31" s="68" t="str">
        <f>A9</f>
        <v>PM</v>
      </c>
      <c r="B31" s="4">
        <v>17</v>
      </c>
      <c r="F31" s="18">
        <f t="shared" si="2"/>
        <v>0</v>
      </c>
      <c r="G31" s="19">
        <f t="shared" si="9"/>
        <v>0</v>
      </c>
      <c r="I31" s="3"/>
      <c r="J31" s="10"/>
      <c r="L31" s="3"/>
      <c r="M31" s="10"/>
      <c r="O31" s="3"/>
      <c r="P31" s="10"/>
      <c r="R31" s="3"/>
      <c r="S31" s="10"/>
      <c r="U31" s="3"/>
      <c r="V31" s="10"/>
      <c r="X31" s="3"/>
      <c r="Y31" s="10"/>
      <c r="AA31" s="3"/>
      <c r="AB31" s="10"/>
      <c r="AD31" s="75"/>
      <c r="AE31" s="39">
        <v>0</v>
      </c>
      <c r="AF31" s="40">
        <f t="shared" si="10"/>
        <v>0</v>
      </c>
    </row>
    <row r="32" spans="1:32" outlineLevel="1">
      <c r="A32" s="68" t="str">
        <f>A9</f>
        <v>PM</v>
      </c>
      <c r="B32" s="4">
        <v>18</v>
      </c>
      <c r="C32" s="74"/>
      <c r="D32" s="74"/>
      <c r="F32" s="18">
        <f t="shared" si="2"/>
        <v>0</v>
      </c>
      <c r="G32" s="19">
        <f t="shared" si="9"/>
        <v>0</v>
      </c>
      <c r="I32" s="3"/>
      <c r="J32" s="10"/>
      <c r="L32" s="3"/>
      <c r="M32" s="10"/>
      <c r="O32" s="3"/>
      <c r="P32" s="10"/>
      <c r="R32" s="3"/>
      <c r="S32" s="10"/>
      <c r="U32" s="3"/>
      <c r="V32" s="10"/>
      <c r="X32" s="3"/>
      <c r="Y32" s="10"/>
      <c r="AA32" s="3"/>
      <c r="AB32" s="10"/>
      <c r="AD32" s="75"/>
      <c r="AE32" s="39">
        <v>0</v>
      </c>
      <c r="AF32" s="40">
        <f t="shared" si="10"/>
        <v>0</v>
      </c>
    </row>
    <row r="33" spans="1:32" outlineLevel="1">
      <c r="A33" s="68" t="str">
        <f>A9</f>
        <v>PM</v>
      </c>
      <c r="B33" s="4">
        <v>19</v>
      </c>
      <c r="F33" s="18">
        <f t="shared" si="2"/>
        <v>0</v>
      </c>
      <c r="G33" s="19">
        <f t="shared" si="9"/>
        <v>0</v>
      </c>
      <c r="I33" s="3"/>
      <c r="J33" s="10"/>
      <c r="L33" s="3"/>
      <c r="M33" s="10"/>
      <c r="O33" s="3"/>
      <c r="P33" s="10"/>
      <c r="R33" s="3"/>
      <c r="S33" s="10"/>
      <c r="U33" s="3"/>
      <c r="V33" s="10"/>
      <c r="X33" s="3"/>
      <c r="Y33" s="10"/>
      <c r="AA33" s="3"/>
      <c r="AB33" s="10"/>
      <c r="AD33" s="75"/>
      <c r="AE33" s="39">
        <v>0</v>
      </c>
      <c r="AF33" s="40">
        <f t="shared" si="10"/>
        <v>0</v>
      </c>
    </row>
    <row r="34" spans="1:32" ht="13.8" outlineLevel="1" thickBot="1">
      <c r="A34" s="68" t="str">
        <f>A9</f>
        <v>PM</v>
      </c>
      <c r="B34" s="4">
        <v>20</v>
      </c>
      <c r="F34" s="18">
        <f t="shared" si="2"/>
        <v>0</v>
      </c>
      <c r="G34" s="19">
        <f t="shared" si="9"/>
        <v>0</v>
      </c>
      <c r="I34" s="3"/>
      <c r="J34" s="10"/>
      <c r="L34" s="3"/>
      <c r="M34" s="10"/>
      <c r="O34" s="3"/>
      <c r="P34" s="10"/>
      <c r="R34" s="3"/>
      <c r="S34" s="10"/>
      <c r="U34" s="3"/>
      <c r="V34" s="10"/>
      <c r="X34" s="3"/>
      <c r="Y34" s="10"/>
      <c r="AA34" s="3"/>
      <c r="AB34" s="10"/>
      <c r="AD34" s="75"/>
      <c r="AE34" s="39">
        <v>0</v>
      </c>
      <c r="AF34" s="40">
        <f t="shared" si="10"/>
        <v>0</v>
      </c>
    </row>
    <row r="35" spans="1:32" s="61" customFormat="1" ht="14.4" thickTop="1" thickBot="1">
      <c r="A35" s="58">
        <v>1</v>
      </c>
      <c r="B35" s="59"/>
      <c r="C35" s="60" t="str">
        <f>CONCATENATE("Detailed concept and system design - ",D2)</f>
        <v>Detailed concept and system design - PrkzZm</v>
      </c>
      <c r="D35" s="60"/>
      <c r="E35" s="60"/>
      <c r="F35" s="32">
        <f>SUBTOTAL(9,F37:F57)</f>
        <v>0</v>
      </c>
      <c r="G35" s="33">
        <f>SUBTOTAL(9,G37:G57)</f>
        <v>0</v>
      </c>
      <c r="H35" s="59"/>
      <c r="I35" s="59">
        <f>SUBTOTAL(9,I37:I57)</f>
        <v>0</v>
      </c>
      <c r="J35" s="11">
        <f>SUBTOTAL(9,J37:J57)</f>
        <v>0</v>
      </c>
      <c r="K35" s="59"/>
      <c r="L35" s="59">
        <f>SUBTOTAL(9,L37:L57)</f>
        <v>0</v>
      </c>
      <c r="M35" s="11">
        <f>SUBTOTAL(9,M37:M57)</f>
        <v>0</v>
      </c>
      <c r="O35" s="59">
        <f>SUBTOTAL(9,O37:O57)</f>
        <v>0</v>
      </c>
      <c r="P35" s="11">
        <f>SUBTOTAL(9,P37:P57)</f>
        <v>0</v>
      </c>
      <c r="Q35" s="7"/>
      <c r="R35" s="59">
        <f>SUBTOTAL(9,R37:R57)</f>
        <v>0</v>
      </c>
      <c r="S35" s="11">
        <f>SUBTOTAL(9,S37:S57)</f>
        <v>0</v>
      </c>
      <c r="U35" s="59">
        <f>SUBTOTAL(9,U37:U57)</f>
        <v>0</v>
      </c>
      <c r="V35" s="11">
        <f>SUBTOTAL(9,V37:V57)</f>
        <v>0</v>
      </c>
      <c r="X35" s="59">
        <f>SUBTOTAL(9,X37:X57)</f>
        <v>0</v>
      </c>
      <c r="Y35" s="11">
        <f>SUBTOTAL(9,Y37:Y57)</f>
        <v>0</v>
      </c>
      <c r="Z35" s="7"/>
      <c r="AA35" s="59">
        <f>SUBTOTAL(9,AA37:AA57)</f>
        <v>0</v>
      </c>
      <c r="AB35" s="11">
        <f>SUBTOTAL(9,AB37:AB57)</f>
        <v>0</v>
      </c>
      <c r="AD35" s="62"/>
      <c r="AE35" s="38"/>
      <c r="AF35" s="33">
        <f>SUBTOTAL(9,AF37:AF57)</f>
        <v>0</v>
      </c>
    </row>
    <row r="36" spans="1:32" s="66" customFormat="1" ht="13.8" thickTop="1">
      <c r="A36" s="63">
        <f>A35</f>
        <v>1</v>
      </c>
      <c r="B36" s="64"/>
      <c r="C36" s="65" t="s">
        <v>24</v>
      </c>
      <c r="D36" s="65"/>
      <c r="E36" s="65"/>
      <c r="F36" s="64">
        <f>SUBTOTAL(9,F37:F50)</f>
        <v>0</v>
      </c>
      <c r="G36" s="22">
        <f>SUBTOTAL(9,G37:G50)</f>
        <v>0</v>
      </c>
      <c r="H36" s="64"/>
      <c r="I36" s="64">
        <f>SUBTOTAL(9,I37:I50)</f>
        <v>0</v>
      </c>
      <c r="J36" s="22">
        <f>SUBTOTAL(9,J37:J50)</f>
        <v>0</v>
      </c>
      <c r="K36" s="64"/>
      <c r="L36" s="64">
        <f>SUBTOTAL(9,L37:L50)</f>
        <v>0</v>
      </c>
      <c r="M36" s="22">
        <f>SUBTOTAL(9,M37:M50)</f>
        <v>0</v>
      </c>
      <c r="O36" s="64">
        <f>SUBTOTAL(9,O37:O50)</f>
        <v>0</v>
      </c>
      <c r="P36" s="22">
        <f>SUBTOTAL(9,P37:P50)</f>
        <v>0</v>
      </c>
      <c r="Q36" s="21"/>
      <c r="R36" s="64">
        <f>SUBTOTAL(9,R37:R50)</f>
        <v>0</v>
      </c>
      <c r="S36" s="22">
        <f>SUBTOTAL(9,S37:S50)</f>
        <v>0</v>
      </c>
      <c r="U36" s="64">
        <f>SUBTOTAL(9,U37:U50)</f>
        <v>0</v>
      </c>
      <c r="V36" s="22">
        <f>SUBTOTAL(9,V37:V50)</f>
        <v>0</v>
      </c>
      <c r="X36" s="64">
        <f>SUBTOTAL(9,X37:X50)</f>
        <v>0</v>
      </c>
      <c r="Y36" s="22">
        <f>SUBTOTAL(9,Y37:Y50)</f>
        <v>0</v>
      </c>
      <c r="Z36" s="21"/>
      <c r="AA36" s="64">
        <f>SUBTOTAL(9,AA37:AA50)</f>
        <v>0</v>
      </c>
      <c r="AB36" s="22">
        <f>SUBTOTAL(9,AB37:AB50)</f>
        <v>0</v>
      </c>
      <c r="AD36" s="67"/>
      <c r="AE36" s="28"/>
      <c r="AF36" s="27"/>
    </row>
    <row r="37" spans="1:32" s="71" customFormat="1" outlineLevel="1">
      <c r="A37" s="68">
        <f>A35</f>
        <v>1</v>
      </c>
      <c r="B37" s="69">
        <v>1</v>
      </c>
      <c r="C37" s="70" t="s">
        <v>42</v>
      </c>
      <c r="D37" s="70"/>
      <c r="E37" s="70"/>
      <c r="F37" s="18">
        <f>I37+L37+O37+R37+U37+X37+AA37</f>
        <v>0</v>
      </c>
      <c r="G37" s="19">
        <f t="shared" ref="G37:G50" si="11">J37+M37+P37+S37+V37+Y37+AB37+AF37</f>
        <v>0</v>
      </c>
      <c r="I37" s="23"/>
      <c r="J37" s="24">
        <f t="shared" ref="J37:J50" si="12">I37*J$2</f>
        <v>0</v>
      </c>
      <c r="L37" s="23"/>
      <c r="M37" s="24">
        <f>L37*M$2</f>
        <v>0</v>
      </c>
      <c r="N37" s="72"/>
      <c r="O37" s="23"/>
      <c r="P37" s="24">
        <f>O37*P$2</f>
        <v>0</v>
      </c>
      <c r="Q37" s="25"/>
      <c r="R37" s="23"/>
      <c r="S37" s="24">
        <f>R37*S$2</f>
        <v>0</v>
      </c>
      <c r="T37" s="72"/>
      <c r="U37" s="23"/>
      <c r="V37" s="24">
        <f>U37*V$2</f>
        <v>0</v>
      </c>
      <c r="W37" s="72"/>
      <c r="X37" s="23"/>
      <c r="Y37" s="24">
        <f>X37*Y$2</f>
        <v>0</v>
      </c>
      <c r="Z37" s="25"/>
      <c r="AA37" s="23"/>
      <c r="AB37" s="24">
        <f>AA37*AB$2</f>
        <v>0</v>
      </c>
      <c r="AD37" s="73"/>
      <c r="AE37" s="29"/>
      <c r="AF37" s="26"/>
    </row>
    <row r="38" spans="1:32" s="71" customFormat="1" outlineLevel="1">
      <c r="A38" s="68">
        <f>A35</f>
        <v>1</v>
      </c>
      <c r="B38" s="69">
        <v>2</v>
      </c>
      <c r="C38" s="70" t="s">
        <v>43</v>
      </c>
      <c r="D38" s="70"/>
      <c r="E38" s="70"/>
      <c r="F38" s="18">
        <f t="shared" ref="F38:F50" si="13">I38+L38+O38+R38+U38+X38+AA38</f>
        <v>0</v>
      </c>
      <c r="G38" s="19">
        <f t="shared" si="11"/>
        <v>0</v>
      </c>
      <c r="I38" s="23"/>
      <c r="J38" s="24">
        <f t="shared" si="12"/>
        <v>0</v>
      </c>
      <c r="L38" s="23"/>
      <c r="M38" s="24">
        <f t="shared" ref="M38:M50" si="14">L38*M$2</f>
        <v>0</v>
      </c>
      <c r="N38" s="72"/>
      <c r="O38" s="23"/>
      <c r="P38" s="24">
        <f t="shared" ref="P38:P50" si="15">O38*P$2</f>
        <v>0</v>
      </c>
      <c r="Q38" s="25"/>
      <c r="R38" s="23"/>
      <c r="S38" s="24">
        <f t="shared" ref="S38:S50" si="16">R38*S$2</f>
        <v>0</v>
      </c>
      <c r="T38" s="72"/>
      <c r="U38" s="23"/>
      <c r="V38" s="24">
        <f t="shared" ref="V38:V50" si="17">U38*V$2</f>
        <v>0</v>
      </c>
      <c r="W38" s="72"/>
      <c r="X38" s="23"/>
      <c r="Y38" s="24">
        <f t="shared" ref="Y38:Y50" si="18">X38*Y$2</f>
        <v>0</v>
      </c>
      <c r="Z38" s="25"/>
      <c r="AA38" s="23"/>
      <c r="AB38" s="24">
        <f t="shared" ref="AB38:AB50" si="19">AA38*AB$2</f>
        <v>0</v>
      </c>
      <c r="AD38" s="73"/>
      <c r="AE38" s="29"/>
      <c r="AF38" s="26"/>
    </row>
    <row r="39" spans="1:32" s="71" customFormat="1" outlineLevel="1">
      <c r="A39" s="68">
        <f>A35</f>
        <v>1</v>
      </c>
      <c r="B39" s="69">
        <v>3</v>
      </c>
      <c r="C39" s="71" t="s">
        <v>44</v>
      </c>
      <c r="E39" s="70"/>
      <c r="F39" s="18">
        <f t="shared" si="13"/>
        <v>0</v>
      </c>
      <c r="G39" s="19">
        <f t="shared" si="11"/>
        <v>0</v>
      </c>
      <c r="I39" s="23"/>
      <c r="J39" s="24">
        <f t="shared" si="12"/>
        <v>0</v>
      </c>
      <c r="L39" s="23"/>
      <c r="M39" s="24">
        <f t="shared" si="14"/>
        <v>0</v>
      </c>
      <c r="N39" s="72"/>
      <c r="O39" s="23"/>
      <c r="P39" s="24">
        <f t="shared" si="15"/>
        <v>0</v>
      </c>
      <c r="Q39" s="25"/>
      <c r="R39" s="23"/>
      <c r="S39" s="24">
        <f t="shared" si="16"/>
        <v>0</v>
      </c>
      <c r="T39" s="72"/>
      <c r="U39" s="23"/>
      <c r="V39" s="24">
        <f t="shared" si="17"/>
        <v>0</v>
      </c>
      <c r="W39" s="72"/>
      <c r="X39" s="23"/>
      <c r="Y39" s="24">
        <f t="shared" si="18"/>
        <v>0</v>
      </c>
      <c r="Z39" s="25"/>
      <c r="AA39" s="23"/>
      <c r="AB39" s="24">
        <f t="shared" si="19"/>
        <v>0</v>
      </c>
      <c r="AD39" s="73"/>
      <c r="AE39" s="29"/>
      <c r="AF39" s="26"/>
    </row>
    <row r="40" spans="1:32" s="71" customFormat="1" outlineLevel="1">
      <c r="A40" s="68">
        <f>A35</f>
        <v>1</v>
      </c>
      <c r="B40" s="69">
        <v>4</v>
      </c>
      <c r="C40" s="70" t="s">
        <v>45</v>
      </c>
      <c r="D40" s="70"/>
      <c r="E40" s="70"/>
      <c r="F40" s="18">
        <f t="shared" si="13"/>
        <v>0</v>
      </c>
      <c r="G40" s="19">
        <f t="shared" si="11"/>
        <v>0</v>
      </c>
      <c r="I40" s="23"/>
      <c r="J40" s="24">
        <f t="shared" si="12"/>
        <v>0</v>
      </c>
      <c r="L40" s="23"/>
      <c r="M40" s="24">
        <f t="shared" si="14"/>
        <v>0</v>
      </c>
      <c r="N40" s="72"/>
      <c r="O40" s="23"/>
      <c r="P40" s="24">
        <f t="shared" si="15"/>
        <v>0</v>
      </c>
      <c r="Q40" s="25"/>
      <c r="R40" s="23"/>
      <c r="S40" s="24">
        <f t="shared" si="16"/>
        <v>0</v>
      </c>
      <c r="T40" s="72"/>
      <c r="U40" s="23"/>
      <c r="V40" s="24">
        <f t="shared" si="17"/>
        <v>0</v>
      </c>
      <c r="W40" s="72"/>
      <c r="X40" s="23"/>
      <c r="Y40" s="24">
        <f t="shared" si="18"/>
        <v>0</v>
      </c>
      <c r="Z40" s="25"/>
      <c r="AA40" s="23"/>
      <c r="AB40" s="24">
        <f t="shared" si="19"/>
        <v>0</v>
      </c>
      <c r="AD40" s="73"/>
      <c r="AE40" s="29"/>
      <c r="AF40" s="26"/>
    </row>
    <row r="41" spans="1:32" s="71" customFormat="1" outlineLevel="1">
      <c r="A41" s="68">
        <f>A35</f>
        <v>1</v>
      </c>
      <c r="B41" s="69">
        <v>5</v>
      </c>
      <c r="C41" s="71" t="s">
        <v>46</v>
      </c>
      <c r="E41" s="70"/>
      <c r="F41" s="18">
        <f t="shared" si="13"/>
        <v>0</v>
      </c>
      <c r="G41" s="19">
        <f t="shared" si="11"/>
        <v>0</v>
      </c>
      <c r="I41" s="23"/>
      <c r="J41" s="24">
        <f t="shared" si="12"/>
        <v>0</v>
      </c>
      <c r="L41" s="23"/>
      <c r="M41" s="24">
        <f t="shared" si="14"/>
        <v>0</v>
      </c>
      <c r="N41" s="72"/>
      <c r="O41" s="23"/>
      <c r="P41" s="24">
        <f t="shared" si="15"/>
        <v>0</v>
      </c>
      <c r="Q41" s="25"/>
      <c r="R41" s="23"/>
      <c r="S41" s="24">
        <f t="shared" si="16"/>
        <v>0</v>
      </c>
      <c r="T41" s="72"/>
      <c r="U41" s="23"/>
      <c r="V41" s="24">
        <f t="shared" si="17"/>
        <v>0</v>
      </c>
      <c r="W41" s="72"/>
      <c r="X41" s="23"/>
      <c r="Y41" s="24">
        <f t="shared" si="18"/>
        <v>0</v>
      </c>
      <c r="Z41" s="25"/>
      <c r="AA41" s="23"/>
      <c r="AB41" s="24">
        <f t="shared" si="19"/>
        <v>0</v>
      </c>
      <c r="AD41" s="73"/>
      <c r="AE41" s="29"/>
      <c r="AF41" s="26"/>
    </row>
    <row r="42" spans="1:32" s="71" customFormat="1" outlineLevel="1">
      <c r="A42" s="68">
        <f>A35</f>
        <v>1</v>
      </c>
      <c r="B42" s="69">
        <v>6</v>
      </c>
      <c r="C42" s="70" t="s">
        <v>47</v>
      </c>
      <c r="D42" s="70"/>
      <c r="E42" s="70"/>
      <c r="F42" s="18">
        <f t="shared" si="13"/>
        <v>0</v>
      </c>
      <c r="G42" s="19">
        <f t="shared" si="11"/>
        <v>0</v>
      </c>
      <c r="I42" s="23"/>
      <c r="J42" s="24">
        <f t="shared" si="12"/>
        <v>0</v>
      </c>
      <c r="L42" s="23"/>
      <c r="M42" s="24">
        <f t="shared" si="14"/>
        <v>0</v>
      </c>
      <c r="N42" s="72"/>
      <c r="O42" s="23"/>
      <c r="P42" s="24">
        <f t="shared" si="15"/>
        <v>0</v>
      </c>
      <c r="Q42" s="25"/>
      <c r="R42" s="23"/>
      <c r="S42" s="24">
        <f t="shared" si="16"/>
        <v>0</v>
      </c>
      <c r="T42" s="72"/>
      <c r="U42" s="23"/>
      <c r="V42" s="24">
        <f t="shared" si="17"/>
        <v>0</v>
      </c>
      <c r="W42" s="72"/>
      <c r="X42" s="23"/>
      <c r="Y42" s="24">
        <f t="shared" si="18"/>
        <v>0</v>
      </c>
      <c r="Z42" s="25"/>
      <c r="AA42" s="23"/>
      <c r="AB42" s="24">
        <f t="shared" si="19"/>
        <v>0</v>
      </c>
      <c r="AD42" s="73"/>
      <c r="AE42" s="29"/>
      <c r="AF42" s="26"/>
    </row>
    <row r="43" spans="1:32" s="71" customFormat="1" outlineLevel="1">
      <c r="A43" s="68">
        <f>A35</f>
        <v>1</v>
      </c>
      <c r="B43" s="69">
        <v>7</v>
      </c>
      <c r="C43" s="70" t="s">
        <v>48</v>
      </c>
      <c r="D43" s="70"/>
      <c r="E43" s="70"/>
      <c r="F43" s="18">
        <f t="shared" si="13"/>
        <v>0</v>
      </c>
      <c r="G43" s="19">
        <f t="shared" si="11"/>
        <v>0</v>
      </c>
      <c r="I43" s="23"/>
      <c r="J43" s="24">
        <f t="shared" si="12"/>
        <v>0</v>
      </c>
      <c r="L43" s="23"/>
      <c r="M43" s="24">
        <f t="shared" si="14"/>
        <v>0</v>
      </c>
      <c r="N43" s="72"/>
      <c r="O43" s="23"/>
      <c r="P43" s="24">
        <f t="shared" si="15"/>
        <v>0</v>
      </c>
      <c r="Q43" s="25"/>
      <c r="R43" s="23"/>
      <c r="S43" s="24">
        <f t="shared" si="16"/>
        <v>0</v>
      </c>
      <c r="T43" s="72"/>
      <c r="U43" s="23"/>
      <c r="V43" s="24">
        <f t="shared" si="17"/>
        <v>0</v>
      </c>
      <c r="W43" s="72"/>
      <c r="X43" s="23"/>
      <c r="Y43" s="24">
        <f t="shared" si="18"/>
        <v>0</v>
      </c>
      <c r="Z43" s="25"/>
      <c r="AA43" s="23"/>
      <c r="AB43" s="24">
        <f t="shared" si="19"/>
        <v>0</v>
      </c>
      <c r="AD43" s="73"/>
      <c r="AE43" s="29"/>
      <c r="AF43" s="26"/>
    </row>
    <row r="44" spans="1:32" s="71" customFormat="1" outlineLevel="1">
      <c r="A44" s="68">
        <f>A35</f>
        <v>1</v>
      </c>
      <c r="B44" s="69">
        <v>8</v>
      </c>
      <c r="C44" s="70" t="s">
        <v>49</v>
      </c>
      <c r="D44" s="70"/>
      <c r="E44" s="70"/>
      <c r="F44" s="18">
        <f t="shared" si="13"/>
        <v>0</v>
      </c>
      <c r="G44" s="19">
        <f t="shared" si="11"/>
        <v>0</v>
      </c>
      <c r="I44" s="23"/>
      <c r="J44" s="24">
        <f t="shared" si="12"/>
        <v>0</v>
      </c>
      <c r="L44" s="23"/>
      <c r="M44" s="24">
        <f t="shared" si="14"/>
        <v>0</v>
      </c>
      <c r="N44" s="72"/>
      <c r="O44" s="23"/>
      <c r="P44" s="24">
        <f t="shared" si="15"/>
        <v>0</v>
      </c>
      <c r="Q44" s="25"/>
      <c r="R44" s="23"/>
      <c r="S44" s="24">
        <f t="shared" si="16"/>
        <v>0</v>
      </c>
      <c r="T44" s="72"/>
      <c r="U44" s="23"/>
      <c r="V44" s="24">
        <f t="shared" si="17"/>
        <v>0</v>
      </c>
      <c r="W44" s="72"/>
      <c r="X44" s="23"/>
      <c r="Y44" s="24">
        <f t="shared" si="18"/>
        <v>0</v>
      </c>
      <c r="Z44" s="25"/>
      <c r="AA44" s="23"/>
      <c r="AB44" s="24">
        <f t="shared" si="19"/>
        <v>0</v>
      </c>
      <c r="AD44" s="73"/>
      <c r="AE44" s="29"/>
      <c r="AF44" s="26"/>
    </row>
    <row r="45" spans="1:32" s="70" customFormat="1" outlineLevel="1">
      <c r="A45" s="68">
        <f>A35</f>
        <v>1</v>
      </c>
      <c r="B45" s="69">
        <v>9</v>
      </c>
      <c r="C45" s="70" t="s">
        <v>50</v>
      </c>
      <c r="F45" s="18">
        <f t="shared" si="13"/>
        <v>0</v>
      </c>
      <c r="G45" s="19">
        <f t="shared" si="11"/>
        <v>0</v>
      </c>
      <c r="I45" s="23"/>
      <c r="J45" s="24">
        <f t="shared" si="12"/>
        <v>0</v>
      </c>
      <c r="L45" s="23"/>
      <c r="M45" s="24">
        <f t="shared" si="14"/>
        <v>0</v>
      </c>
      <c r="O45" s="23"/>
      <c r="P45" s="24">
        <f t="shared" si="15"/>
        <v>0</v>
      </c>
      <c r="R45" s="23"/>
      <c r="S45" s="24">
        <f t="shared" si="16"/>
        <v>0</v>
      </c>
      <c r="U45" s="23"/>
      <c r="V45" s="24">
        <f t="shared" si="17"/>
        <v>0</v>
      </c>
      <c r="X45" s="23"/>
      <c r="Y45" s="24">
        <f t="shared" si="18"/>
        <v>0</v>
      </c>
      <c r="AA45" s="23"/>
      <c r="AB45" s="24">
        <f t="shared" si="19"/>
        <v>0</v>
      </c>
      <c r="AD45" s="73"/>
      <c r="AE45" s="29"/>
      <c r="AF45" s="26"/>
    </row>
    <row r="46" spans="1:32" s="70" customFormat="1" outlineLevel="1">
      <c r="A46" s="68">
        <f>A35</f>
        <v>1</v>
      </c>
      <c r="B46" s="69">
        <v>10</v>
      </c>
      <c r="C46" s="70" t="s">
        <v>51</v>
      </c>
      <c r="F46" s="18">
        <f t="shared" si="13"/>
        <v>0</v>
      </c>
      <c r="G46" s="19">
        <f t="shared" si="11"/>
        <v>0</v>
      </c>
      <c r="I46" s="23"/>
      <c r="J46" s="24">
        <f t="shared" si="12"/>
        <v>0</v>
      </c>
      <c r="L46" s="23"/>
      <c r="M46" s="24">
        <f t="shared" si="14"/>
        <v>0</v>
      </c>
      <c r="O46" s="23"/>
      <c r="P46" s="24">
        <f t="shared" si="15"/>
        <v>0</v>
      </c>
      <c r="R46" s="23"/>
      <c r="S46" s="24">
        <f t="shared" si="16"/>
        <v>0</v>
      </c>
      <c r="U46" s="23"/>
      <c r="V46" s="24">
        <f t="shared" si="17"/>
        <v>0</v>
      </c>
      <c r="X46" s="23"/>
      <c r="Y46" s="24">
        <f t="shared" si="18"/>
        <v>0</v>
      </c>
      <c r="AA46" s="23"/>
      <c r="AB46" s="24">
        <f t="shared" si="19"/>
        <v>0</v>
      </c>
      <c r="AD46" s="73"/>
      <c r="AE46" s="29"/>
      <c r="AF46" s="26"/>
    </row>
    <row r="47" spans="1:32" s="70" customFormat="1" outlineLevel="1">
      <c r="A47" s="68">
        <f>A35</f>
        <v>1</v>
      </c>
      <c r="B47" s="69">
        <v>11</v>
      </c>
      <c r="C47" s="70" t="s">
        <v>52</v>
      </c>
      <c r="F47" s="18">
        <f t="shared" si="13"/>
        <v>0</v>
      </c>
      <c r="G47" s="19">
        <f t="shared" si="11"/>
        <v>0</v>
      </c>
      <c r="I47" s="23"/>
      <c r="J47" s="24">
        <f t="shared" si="12"/>
        <v>0</v>
      </c>
      <c r="L47" s="23"/>
      <c r="M47" s="24">
        <f t="shared" si="14"/>
        <v>0</v>
      </c>
      <c r="O47" s="23"/>
      <c r="P47" s="24">
        <f t="shared" si="15"/>
        <v>0</v>
      </c>
      <c r="R47" s="23"/>
      <c r="S47" s="24">
        <f t="shared" si="16"/>
        <v>0</v>
      </c>
      <c r="U47" s="23"/>
      <c r="V47" s="24">
        <f t="shared" si="17"/>
        <v>0</v>
      </c>
      <c r="X47" s="23"/>
      <c r="Y47" s="24">
        <f t="shared" si="18"/>
        <v>0</v>
      </c>
      <c r="AA47" s="23"/>
      <c r="AB47" s="24">
        <f t="shared" si="19"/>
        <v>0</v>
      </c>
      <c r="AD47" s="73"/>
      <c r="AE47" s="29"/>
      <c r="AF47" s="26"/>
    </row>
    <row r="48" spans="1:32" s="70" customFormat="1" outlineLevel="1">
      <c r="A48" s="68">
        <f>A35</f>
        <v>1</v>
      </c>
      <c r="B48" s="69">
        <v>12</v>
      </c>
      <c r="C48" s="70" t="s">
        <v>53</v>
      </c>
      <c r="F48" s="18">
        <f t="shared" si="13"/>
        <v>0</v>
      </c>
      <c r="G48" s="19">
        <f t="shared" si="11"/>
        <v>0</v>
      </c>
      <c r="I48" s="23"/>
      <c r="J48" s="24">
        <f t="shared" si="12"/>
        <v>0</v>
      </c>
      <c r="L48" s="23"/>
      <c r="M48" s="24">
        <f t="shared" si="14"/>
        <v>0</v>
      </c>
      <c r="O48" s="23"/>
      <c r="P48" s="24">
        <f t="shared" si="15"/>
        <v>0</v>
      </c>
      <c r="R48" s="23"/>
      <c r="S48" s="24">
        <f t="shared" si="16"/>
        <v>0</v>
      </c>
      <c r="U48" s="23"/>
      <c r="V48" s="24">
        <f t="shared" si="17"/>
        <v>0</v>
      </c>
      <c r="X48" s="23"/>
      <c r="Y48" s="24">
        <f t="shared" si="18"/>
        <v>0</v>
      </c>
      <c r="AA48" s="23"/>
      <c r="AB48" s="24">
        <f t="shared" si="19"/>
        <v>0</v>
      </c>
      <c r="AD48" s="73"/>
      <c r="AE48" s="29"/>
      <c r="AF48" s="26"/>
    </row>
    <row r="49" spans="1:32" s="70" customFormat="1" outlineLevel="1">
      <c r="A49" s="68">
        <f>A35</f>
        <v>1</v>
      </c>
      <c r="B49" s="69">
        <v>13</v>
      </c>
      <c r="C49" s="70" t="s">
        <v>54</v>
      </c>
      <c r="F49" s="18">
        <f t="shared" si="13"/>
        <v>0</v>
      </c>
      <c r="G49" s="19">
        <f t="shared" si="11"/>
        <v>0</v>
      </c>
      <c r="I49" s="23"/>
      <c r="J49" s="24">
        <f t="shared" si="12"/>
        <v>0</v>
      </c>
      <c r="L49" s="23"/>
      <c r="M49" s="24">
        <f t="shared" si="14"/>
        <v>0</v>
      </c>
      <c r="O49" s="23"/>
      <c r="P49" s="24">
        <f t="shared" si="15"/>
        <v>0</v>
      </c>
      <c r="R49" s="23"/>
      <c r="S49" s="24">
        <f t="shared" si="16"/>
        <v>0</v>
      </c>
      <c r="U49" s="23"/>
      <c r="V49" s="24">
        <f t="shared" si="17"/>
        <v>0</v>
      </c>
      <c r="X49" s="23"/>
      <c r="Y49" s="24">
        <f t="shared" si="18"/>
        <v>0</v>
      </c>
      <c r="AA49" s="23"/>
      <c r="AB49" s="24">
        <f t="shared" si="19"/>
        <v>0</v>
      </c>
      <c r="AD49" s="73"/>
      <c r="AE49" s="29"/>
      <c r="AF49" s="26"/>
    </row>
    <row r="50" spans="1:32" s="70" customFormat="1" outlineLevel="1">
      <c r="A50" s="68">
        <f>A35</f>
        <v>1</v>
      </c>
      <c r="B50" s="69">
        <v>14</v>
      </c>
      <c r="F50" s="18">
        <f t="shared" si="13"/>
        <v>0</v>
      </c>
      <c r="G50" s="19">
        <f t="shared" si="11"/>
        <v>0</v>
      </c>
      <c r="I50" s="23"/>
      <c r="J50" s="24">
        <f t="shared" si="12"/>
        <v>0</v>
      </c>
      <c r="L50" s="23"/>
      <c r="M50" s="24">
        <f t="shared" si="14"/>
        <v>0</v>
      </c>
      <c r="O50" s="23"/>
      <c r="P50" s="24">
        <f t="shared" si="15"/>
        <v>0</v>
      </c>
      <c r="R50" s="23"/>
      <c r="S50" s="24">
        <f t="shared" si="16"/>
        <v>0</v>
      </c>
      <c r="U50" s="23"/>
      <c r="V50" s="24">
        <f t="shared" si="17"/>
        <v>0</v>
      </c>
      <c r="X50" s="23"/>
      <c r="Y50" s="24">
        <f t="shared" si="18"/>
        <v>0</v>
      </c>
      <c r="AA50" s="23"/>
      <c r="AB50" s="24">
        <f t="shared" si="19"/>
        <v>0</v>
      </c>
      <c r="AD50" s="73"/>
      <c r="AE50" s="29"/>
      <c r="AF50" s="26"/>
    </row>
    <row r="51" spans="1:32" s="66" customFormat="1">
      <c r="A51" s="63">
        <f>A35</f>
        <v>1</v>
      </c>
      <c r="B51" s="64"/>
      <c r="C51" s="65" t="s">
        <v>41</v>
      </c>
      <c r="D51" s="65"/>
      <c r="E51" s="65"/>
      <c r="F51" s="64">
        <f>SUBTOTAL(9,F52:F57)</f>
        <v>0</v>
      </c>
      <c r="G51" s="22">
        <f>SUBTOTAL(9,G52:G57)</f>
        <v>0</v>
      </c>
      <c r="H51" s="64"/>
      <c r="I51" s="64"/>
      <c r="J51" s="27"/>
      <c r="K51" s="64"/>
      <c r="L51" s="64"/>
      <c r="M51" s="27"/>
      <c r="O51" s="64"/>
      <c r="P51" s="27"/>
      <c r="Q51" s="21"/>
      <c r="R51" s="64"/>
      <c r="S51" s="27"/>
      <c r="U51" s="64"/>
      <c r="V51" s="27"/>
      <c r="X51" s="64"/>
      <c r="Y51" s="27"/>
      <c r="Z51" s="21"/>
      <c r="AA51" s="64"/>
      <c r="AB51" s="27"/>
      <c r="AD51" s="67"/>
      <c r="AE51" s="28"/>
      <c r="AF51" s="27">
        <f>SUBTOTAL(9,AF52:AF57)</f>
        <v>0</v>
      </c>
    </row>
    <row r="52" spans="1:32" outlineLevel="1">
      <c r="A52" s="68">
        <f>A35</f>
        <v>1</v>
      </c>
      <c r="B52" s="4">
        <v>15</v>
      </c>
      <c r="C52" s="1" t="s">
        <v>55</v>
      </c>
      <c r="D52" s="1"/>
      <c r="F52" s="18">
        <f t="shared" ref="F52:F57" si="20">I52+L52+O52+R52+U52+X52+AA52</f>
        <v>0</v>
      </c>
      <c r="G52" s="19">
        <f t="shared" ref="G52:G57" si="21">J52+M52+P52+S52+V52+Y52+AB52+AF52</f>
        <v>0</v>
      </c>
      <c r="I52" s="3"/>
      <c r="J52" s="10"/>
      <c r="L52" s="3"/>
      <c r="M52" s="10"/>
      <c r="O52" s="3"/>
      <c r="P52" s="10"/>
      <c r="R52" s="3"/>
      <c r="S52" s="10"/>
      <c r="U52" s="3"/>
      <c r="V52" s="10"/>
      <c r="X52" s="3"/>
      <c r="Y52" s="10"/>
      <c r="AA52" s="3"/>
      <c r="AB52" s="10"/>
      <c r="AD52" s="75"/>
      <c r="AE52" s="39">
        <v>0</v>
      </c>
      <c r="AF52" s="40">
        <f t="shared" ref="AF52:AF57" si="22">AD52*AE52</f>
        <v>0</v>
      </c>
    </row>
    <row r="53" spans="1:32" outlineLevel="1">
      <c r="A53" s="68">
        <f>A35</f>
        <v>1</v>
      </c>
      <c r="B53" s="4">
        <v>16</v>
      </c>
      <c r="C53" t="s">
        <v>56</v>
      </c>
      <c r="F53" s="18">
        <f t="shared" si="20"/>
        <v>0</v>
      </c>
      <c r="G53" s="19">
        <f t="shared" si="21"/>
        <v>0</v>
      </c>
      <c r="I53" s="3"/>
      <c r="J53" s="10"/>
      <c r="L53" s="3"/>
      <c r="M53" s="10"/>
      <c r="O53" s="3"/>
      <c r="P53" s="10"/>
      <c r="R53" s="3"/>
      <c r="S53" s="10"/>
      <c r="U53" s="3"/>
      <c r="V53" s="10"/>
      <c r="X53" s="3"/>
      <c r="Y53" s="10"/>
      <c r="AA53" s="3"/>
      <c r="AB53" s="10"/>
      <c r="AD53" s="75"/>
      <c r="AE53" s="39">
        <v>0</v>
      </c>
      <c r="AF53" s="40">
        <f t="shared" si="22"/>
        <v>0</v>
      </c>
    </row>
    <row r="54" spans="1:32" outlineLevel="1">
      <c r="A54" s="68">
        <f>A35</f>
        <v>1</v>
      </c>
      <c r="B54" s="4">
        <v>17</v>
      </c>
      <c r="C54" t="s">
        <v>57</v>
      </c>
      <c r="F54" s="18">
        <f t="shared" si="20"/>
        <v>0</v>
      </c>
      <c r="G54" s="19">
        <f t="shared" si="21"/>
        <v>0</v>
      </c>
      <c r="I54" s="3"/>
      <c r="J54" s="10"/>
      <c r="L54" s="3"/>
      <c r="M54" s="10"/>
      <c r="O54" s="3"/>
      <c r="P54" s="10"/>
      <c r="R54" s="3"/>
      <c r="S54" s="10"/>
      <c r="U54" s="3"/>
      <c r="V54" s="10"/>
      <c r="X54" s="3"/>
      <c r="Y54" s="10"/>
      <c r="AA54" s="3"/>
      <c r="AB54" s="10"/>
      <c r="AD54" s="75"/>
      <c r="AE54" s="39">
        <v>0</v>
      </c>
      <c r="AF54" s="40">
        <f t="shared" si="22"/>
        <v>0</v>
      </c>
    </row>
    <row r="55" spans="1:32" outlineLevel="1">
      <c r="A55" s="68">
        <f>A35</f>
        <v>1</v>
      </c>
      <c r="B55" s="4">
        <v>18</v>
      </c>
      <c r="C55" s="74" t="s">
        <v>58</v>
      </c>
      <c r="D55" s="74"/>
      <c r="F55" s="18">
        <f t="shared" si="20"/>
        <v>0</v>
      </c>
      <c r="G55" s="19">
        <f t="shared" si="21"/>
        <v>0</v>
      </c>
      <c r="I55" s="3"/>
      <c r="J55" s="10"/>
      <c r="L55" s="3"/>
      <c r="M55" s="10"/>
      <c r="O55" s="3"/>
      <c r="P55" s="10"/>
      <c r="R55" s="3"/>
      <c r="S55" s="10"/>
      <c r="U55" s="3"/>
      <c r="V55" s="10"/>
      <c r="X55" s="3"/>
      <c r="Y55" s="10"/>
      <c r="AA55" s="3"/>
      <c r="AB55" s="10"/>
      <c r="AD55" s="75"/>
      <c r="AE55" s="39">
        <v>0</v>
      </c>
      <c r="AF55" s="40">
        <f t="shared" si="22"/>
        <v>0</v>
      </c>
    </row>
    <row r="56" spans="1:32" outlineLevel="1">
      <c r="A56" s="68">
        <f>A35</f>
        <v>1</v>
      </c>
      <c r="B56" s="4">
        <v>19</v>
      </c>
      <c r="F56" s="18">
        <f t="shared" si="20"/>
        <v>0</v>
      </c>
      <c r="G56" s="19">
        <f t="shared" si="21"/>
        <v>0</v>
      </c>
      <c r="I56" s="3"/>
      <c r="J56" s="10"/>
      <c r="L56" s="3"/>
      <c r="M56" s="10"/>
      <c r="O56" s="3"/>
      <c r="P56" s="10"/>
      <c r="R56" s="3"/>
      <c r="S56" s="10"/>
      <c r="U56" s="3"/>
      <c r="V56" s="10"/>
      <c r="X56" s="3"/>
      <c r="Y56" s="10"/>
      <c r="AA56" s="3"/>
      <c r="AB56" s="10"/>
      <c r="AD56" s="75"/>
      <c r="AE56" s="39">
        <v>0</v>
      </c>
      <c r="AF56" s="40">
        <f t="shared" si="22"/>
        <v>0</v>
      </c>
    </row>
    <row r="57" spans="1:32" ht="13.8" outlineLevel="1" thickBot="1">
      <c r="A57" s="68">
        <f>A35</f>
        <v>1</v>
      </c>
      <c r="B57" s="4">
        <v>20</v>
      </c>
      <c r="F57" s="18">
        <f t="shared" si="20"/>
        <v>0</v>
      </c>
      <c r="G57" s="19">
        <f t="shared" si="21"/>
        <v>0</v>
      </c>
      <c r="I57" s="3"/>
      <c r="J57" s="10"/>
      <c r="L57" s="3"/>
      <c r="M57" s="10"/>
      <c r="O57" s="3"/>
      <c r="P57" s="10"/>
      <c r="R57" s="3"/>
      <c r="S57" s="10"/>
      <c r="U57" s="3"/>
      <c r="V57" s="10"/>
      <c r="X57" s="3"/>
      <c r="Y57" s="10"/>
      <c r="AA57" s="3"/>
      <c r="AB57" s="10"/>
      <c r="AD57" s="75"/>
      <c r="AE57" s="39">
        <v>0</v>
      </c>
      <c r="AF57" s="40">
        <f t="shared" si="22"/>
        <v>0</v>
      </c>
    </row>
    <row r="58" spans="1:32" s="61" customFormat="1" ht="14.4" thickTop="1" thickBot="1">
      <c r="A58" s="58">
        <v>2</v>
      </c>
      <c r="B58" s="59"/>
      <c r="C58" s="60" t="str">
        <f>CONCATENATE("Software Development - ",D2)</f>
        <v>Software Development - PrkzZm</v>
      </c>
      <c r="D58" s="60"/>
      <c r="E58" s="60"/>
      <c r="F58" s="32">
        <f>SUBTOTAL(9,F60:F80)</f>
        <v>0</v>
      </c>
      <c r="G58" s="33">
        <f>SUBTOTAL(9,G60:G80)</f>
        <v>0</v>
      </c>
      <c r="H58" s="59"/>
      <c r="I58" s="59">
        <f>SUBTOTAL(9,I60:I80)</f>
        <v>0</v>
      </c>
      <c r="J58" s="11">
        <f>SUBTOTAL(9,J60:J80)</f>
        <v>0</v>
      </c>
      <c r="K58" s="59"/>
      <c r="L58" s="59">
        <f>SUBTOTAL(9,L60:L80)</f>
        <v>0</v>
      </c>
      <c r="M58" s="11">
        <f>SUBTOTAL(9,M60:M80)</f>
        <v>0</v>
      </c>
      <c r="O58" s="59">
        <f>SUBTOTAL(9,O60:O80)</f>
        <v>0</v>
      </c>
      <c r="P58" s="11">
        <f>SUBTOTAL(9,P60:P80)</f>
        <v>0</v>
      </c>
      <c r="Q58" s="7"/>
      <c r="R58" s="59">
        <f>SUBTOTAL(9,R60:R80)</f>
        <v>0</v>
      </c>
      <c r="S58" s="11">
        <f>SUBTOTAL(9,S60:S80)</f>
        <v>0</v>
      </c>
      <c r="U58" s="59">
        <f>SUBTOTAL(9,U60:U80)</f>
        <v>0</v>
      </c>
      <c r="V58" s="11">
        <f>SUBTOTAL(9,V60:V80)</f>
        <v>0</v>
      </c>
      <c r="X58" s="59">
        <f>SUBTOTAL(9,X60:X80)</f>
        <v>0</v>
      </c>
      <c r="Y58" s="11">
        <f>SUBTOTAL(9,Y60:Y80)</f>
        <v>0</v>
      </c>
      <c r="Z58" s="7"/>
      <c r="AA58" s="59">
        <f>SUBTOTAL(9,AA60:AA80)</f>
        <v>0</v>
      </c>
      <c r="AB58" s="11">
        <f>SUBTOTAL(9,AB60:AB80)</f>
        <v>0</v>
      </c>
      <c r="AD58" s="62"/>
      <c r="AE58" s="38"/>
      <c r="AF58" s="33">
        <f>SUBTOTAL(9,AF60:AF80)</f>
        <v>0</v>
      </c>
    </row>
    <row r="59" spans="1:32" s="66" customFormat="1" ht="13.8" thickTop="1">
      <c r="A59" s="63">
        <f>A58</f>
        <v>2</v>
      </c>
      <c r="B59" s="64"/>
      <c r="C59" s="65" t="s">
        <v>24</v>
      </c>
      <c r="D59" s="65"/>
      <c r="E59" s="65"/>
      <c r="F59" s="64">
        <f>SUBTOTAL(9,F60:F73)</f>
        <v>0</v>
      </c>
      <c r="G59" s="22">
        <f>SUBTOTAL(9,G60:G73)</f>
        <v>0</v>
      </c>
      <c r="H59" s="64"/>
      <c r="I59" s="64">
        <f>SUBTOTAL(9,I60:I73)</f>
        <v>0</v>
      </c>
      <c r="J59" s="22">
        <f>SUBTOTAL(9,J60:J73)</f>
        <v>0</v>
      </c>
      <c r="K59" s="64"/>
      <c r="L59" s="64">
        <f>SUBTOTAL(9,L60:L73)</f>
        <v>0</v>
      </c>
      <c r="M59" s="22">
        <f>SUBTOTAL(9,M60:M73)</f>
        <v>0</v>
      </c>
      <c r="O59" s="64">
        <f>SUBTOTAL(9,O60:O73)</f>
        <v>0</v>
      </c>
      <c r="P59" s="22">
        <f>SUBTOTAL(9,P60:P73)</f>
        <v>0</v>
      </c>
      <c r="Q59" s="21"/>
      <c r="R59" s="64">
        <f>SUBTOTAL(9,R60:R73)</f>
        <v>0</v>
      </c>
      <c r="S59" s="22">
        <f>SUBTOTAL(9,S60:S73)</f>
        <v>0</v>
      </c>
      <c r="U59" s="64">
        <f>SUBTOTAL(9,U60:U73)</f>
        <v>0</v>
      </c>
      <c r="V59" s="22">
        <f>SUBTOTAL(9,V60:V73)</f>
        <v>0</v>
      </c>
      <c r="X59" s="64">
        <f>SUBTOTAL(9,X60:X73)</f>
        <v>0</v>
      </c>
      <c r="Y59" s="22">
        <f>SUBTOTAL(9,Y60:Y73)</f>
        <v>0</v>
      </c>
      <c r="Z59" s="21"/>
      <c r="AA59" s="64">
        <f>SUBTOTAL(9,AA60:AA73)</f>
        <v>0</v>
      </c>
      <c r="AB59" s="22">
        <f>SUBTOTAL(9,AB60:AB73)</f>
        <v>0</v>
      </c>
      <c r="AD59" s="67"/>
      <c r="AE59" s="28"/>
      <c r="AF59" s="27"/>
    </row>
    <row r="60" spans="1:32" s="71" customFormat="1" outlineLevel="1">
      <c r="A60" s="68">
        <f>A58</f>
        <v>2</v>
      </c>
      <c r="B60" s="69">
        <v>1</v>
      </c>
      <c r="C60" s="71" t="s">
        <v>59</v>
      </c>
      <c r="E60" s="70"/>
      <c r="F60" s="18">
        <f>I60+L60+O60+R60+U60+X60+AA60</f>
        <v>0</v>
      </c>
      <c r="G60" s="19">
        <f t="shared" ref="G60:G73" si="23">J60+M60+P60+S60+V60+Y60+AB60+AF60</f>
        <v>0</v>
      </c>
      <c r="I60" s="23"/>
      <c r="J60" s="24">
        <f t="shared" ref="J60:J73" si="24">I60*J$2</f>
        <v>0</v>
      </c>
      <c r="L60" s="23"/>
      <c r="M60" s="24">
        <f>L60*M$2</f>
        <v>0</v>
      </c>
      <c r="N60" s="72"/>
      <c r="O60" s="23"/>
      <c r="P60" s="24">
        <f>O60*P$2</f>
        <v>0</v>
      </c>
      <c r="Q60" s="25"/>
      <c r="R60" s="23"/>
      <c r="S60" s="24">
        <f>R60*S$2</f>
        <v>0</v>
      </c>
      <c r="T60" s="72"/>
      <c r="U60" s="23"/>
      <c r="V60" s="24">
        <f>U60*V$2</f>
        <v>0</v>
      </c>
      <c r="W60" s="72"/>
      <c r="X60" s="23"/>
      <c r="Y60" s="24">
        <f>X60*Y$2</f>
        <v>0</v>
      </c>
      <c r="Z60" s="25"/>
      <c r="AA60" s="23"/>
      <c r="AB60" s="24">
        <f>AA60*AB$2</f>
        <v>0</v>
      </c>
      <c r="AD60" s="73"/>
      <c r="AE60" s="29"/>
      <c r="AF60" s="26"/>
    </row>
    <row r="61" spans="1:32" s="71" customFormat="1" outlineLevel="1">
      <c r="A61" s="68">
        <f>A58</f>
        <v>2</v>
      </c>
      <c r="B61" s="69">
        <v>2</v>
      </c>
      <c r="C61" s="74" t="s">
        <v>12</v>
      </c>
      <c r="D61" s="74"/>
      <c r="E61" s="70"/>
      <c r="F61" s="18">
        <f t="shared" ref="F61:F73" si="25">I61+L61+O61+R61+U61+X61+AA61</f>
        <v>0</v>
      </c>
      <c r="G61" s="19">
        <f t="shared" si="23"/>
        <v>0</v>
      </c>
      <c r="I61" s="23"/>
      <c r="J61" s="24">
        <f t="shared" si="24"/>
        <v>0</v>
      </c>
      <c r="L61" s="23"/>
      <c r="M61" s="24">
        <f t="shared" ref="M61:M73" si="26">L61*M$2</f>
        <v>0</v>
      </c>
      <c r="N61" s="72"/>
      <c r="O61" s="23"/>
      <c r="P61" s="24">
        <f t="shared" ref="P61:P73" si="27">O61*P$2</f>
        <v>0</v>
      </c>
      <c r="Q61" s="25"/>
      <c r="R61" s="23"/>
      <c r="S61" s="24">
        <f t="shared" ref="S61:S73" si="28">R61*S$2</f>
        <v>0</v>
      </c>
      <c r="T61" s="72"/>
      <c r="U61" s="23"/>
      <c r="V61" s="24">
        <f t="shared" ref="V61:V73" si="29">U61*V$2</f>
        <v>0</v>
      </c>
      <c r="W61" s="72"/>
      <c r="X61" s="23"/>
      <c r="Y61" s="24">
        <f t="shared" ref="Y61:Y73" si="30">X61*Y$2</f>
        <v>0</v>
      </c>
      <c r="Z61" s="25"/>
      <c r="AA61" s="23"/>
      <c r="AB61" s="24">
        <f t="shared" ref="AB61:AB73" si="31">AA61*AB$2</f>
        <v>0</v>
      </c>
      <c r="AD61" s="73"/>
      <c r="AE61" s="29"/>
      <c r="AF61" s="26"/>
    </row>
    <row r="62" spans="1:32" s="71" customFormat="1" outlineLevel="1">
      <c r="A62" s="68">
        <f>A58</f>
        <v>2</v>
      </c>
      <c r="B62" s="69">
        <v>3</v>
      </c>
      <c r="C62" s="71" t="s">
        <v>60</v>
      </c>
      <c r="E62" s="70"/>
      <c r="F62" s="18">
        <f t="shared" si="25"/>
        <v>0</v>
      </c>
      <c r="G62" s="19">
        <f t="shared" si="23"/>
        <v>0</v>
      </c>
      <c r="I62" s="23"/>
      <c r="J62" s="24">
        <f t="shared" si="24"/>
        <v>0</v>
      </c>
      <c r="L62" s="23"/>
      <c r="M62" s="24">
        <f t="shared" si="26"/>
        <v>0</v>
      </c>
      <c r="N62" s="72"/>
      <c r="O62" s="23"/>
      <c r="P62" s="24">
        <f t="shared" si="27"/>
        <v>0</v>
      </c>
      <c r="Q62" s="25"/>
      <c r="R62" s="23"/>
      <c r="S62" s="24">
        <f t="shared" si="28"/>
        <v>0</v>
      </c>
      <c r="T62" s="72"/>
      <c r="U62" s="23"/>
      <c r="V62" s="24">
        <f t="shared" si="29"/>
        <v>0</v>
      </c>
      <c r="W62" s="72"/>
      <c r="X62" s="23"/>
      <c r="Y62" s="24">
        <f t="shared" si="30"/>
        <v>0</v>
      </c>
      <c r="Z62" s="25"/>
      <c r="AA62" s="23"/>
      <c r="AB62" s="24">
        <f t="shared" si="31"/>
        <v>0</v>
      </c>
      <c r="AD62" s="73"/>
      <c r="AE62" s="29"/>
      <c r="AF62" s="26"/>
    </row>
    <row r="63" spans="1:32" s="71" customFormat="1" outlineLevel="1">
      <c r="A63" s="68">
        <f>A58</f>
        <v>2</v>
      </c>
      <c r="B63" s="69">
        <v>4</v>
      </c>
      <c r="C63" s="74" t="s">
        <v>13</v>
      </c>
      <c r="D63" s="74"/>
      <c r="E63" s="70"/>
      <c r="F63" s="18">
        <f t="shared" si="25"/>
        <v>0</v>
      </c>
      <c r="G63" s="19">
        <f t="shared" si="23"/>
        <v>0</v>
      </c>
      <c r="I63" s="23"/>
      <c r="J63" s="24">
        <f t="shared" si="24"/>
        <v>0</v>
      </c>
      <c r="L63" s="23"/>
      <c r="M63" s="24">
        <f t="shared" si="26"/>
        <v>0</v>
      </c>
      <c r="N63" s="72"/>
      <c r="O63" s="23"/>
      <c r="P63" s="24">
        <f t="shared" si="27"/>
        <v>0</v>
      </c>
      <c r="Q63" s="25"/>
      <c r="R63" s="23"/>
      <c r="S63" s="24">
        <f t="shared" si="28"/>
        <v>0</v>
      </c>
      <c r="T63" s="72"/>
      <c r="U63" s="23"/>
      <c r="V63" s="24">
        <f t="shared" si="29"/>
        <v>0</v>
      </c>
      <c r="W63" s="72"/>
      <c r="X63" s="23"/>
      <c r="Y63" s="24">
        <f t="shared" si="30"/>
        <v>0</v>
      </c>
      <c r="Z63" s="25"/>
      <c r="AA63" s="23"/>
      <c r="AB63" s="24">
        <f t="shared" si="31"/>
        <v>0</v>
      </c>
      <c r="AD63" s="73"/>
      <c r="AE63" s="29"/>
      <c r="AF63" s="26"/>
    </row>
    <row r="64" spans="1:32" s="71" customFormat="1" outlineLevel="1">
      <c r="A64" s="68">
        <f>A58</f>
        <v>2</v>
      </c>
      <c r="B64" s="69">
        <v>5</v>
      </c>
      <c r="C64" s="74" t="s">
        <v>61</v>
      </c>
      <c r="D64" s="74"/>
      <c r="E64" s="70"/>
      <c r="F64" s="18">
        <f t="shared" si="25"/>
        <v>0</v>
      </c>
      <c r="G64" s="19">
        <f t="shared" si="23"/>
        <v>0</v>
      </c>
      <c r="I64" s="23"/>
      <c r="J64" s="24">
        <f t="shared" si="24"/>
        <v>0</v>
      </c>
      <c r="L64" s="23"/>
      <c r="M64" s="24">
        <f t="shared" si="26"/>
        <v>0</v>
      </c>
      <c r="N64" s="72"/>
      <c r="O64" s="23"/>
      <c r="P64" s="24">
        <f t="shared" si="27"/>
        <v>0</v>
      </c>
      <c r="Q64" s="25"/>
      <c r="R64" s="23"/>
      <c r="S64" s="24">
        <f t="shared" si="28"/>
        <v>0</v>
      </c>
      <c r="T64" s="72"/>
      <c r="U64" s="23"/>
      <c r="V64" s="24">
        <f t="shared" si="29"/>
        <v>0</v>
      </c>
      <c r="W64" s="72"/>
      <c r="X64" s="23"/>
      <c r="Y64" s="24">
        <f t="shared" si="30"/>
        <v>0</v>
      </c>
      <c r="Z64" s="25"/>
      <c r="AA64" s="23"/>
      <c r="AB64" s="24">
        <f t="shared" si="31"/>
        <v>0</v>
      </c>
      <c r="AD64" s="73"/>
      <c r="AE64" s="29"/>
      <c r="AF64" s="26"/>
    </row>
    <row r="65" spans="1:32" s="71" customFormat="1" outlineLevel="1">
      <c r="A65" s="68">
        <f>A58</f>
        <v>2</v>
      </c>
      <c r="B65" s="69">
        <v>6</v>
      </c>
      <c r="C65" s="71" t="s">
        <v>62</v>
      </c>
      <c r="D65" s="74"/>
      <c r="E65" s="70"/>
      <c r="F65" s="18">
        <f t="shared" si="25"/>
        <v>0</v>
      </c>
      <c r="G65" s="19">
        <f t="shared" si="23"/>
        <v>0</v>
      </c>
      <c r="I65" s="23"/>
      <c r="J65" s="24">
        <f t="shared" si="24"/>
        <v>0</v>
      </c>
      <c r="L65" s="23"/>
      <c r="M65" s="24">
        <f t="shared" si="26"/>
        <v>0</v>
      </c>
      <c r="N65" s="72"/>
      <c r="O65" s="23"/>
      <c r="P65" s="24">
        <f t="shared" si="27"/>
        <v>0</v>
      </c>
      <c r="Q65" s="25"/>
      <c r="R65" s="23"/>
      <c r="S65" s="24">
        <f t="shared" si="28"/>
        <v>0</v>
      </c>
      <c r="T65" s="72"/>
      <c r="U65" s="23"/>
      <c r="V65" s="24">
        <f t="shared" si="29"/>
        <v>0</v>
      </c>
      <c r="W65" s="72"/>
      <c r="X65" s="23"/>
      <c r="Y65" s="24">
        <f t="shared" si="30"/>
        <v>0</v>
      </c>
      <c r="Z65" s="25"/>
      <c r="AA65" s="23"/>
      <c r="AB65" s="24">
        <f t="shared" si="31"/>
        <v>0</v>
      </c>
      <c r="AD65" s="73"/>
      <c r="AE65" s="29"/>
      <c r="AF65" s="26"/>
    </row>
    <row r="66" spans="1:32" s="71" customFormat="1" outlineLevel="1">
      <c r="A66" s="68">
        <f>A58</f>
        <v>2</v>
      </c>
      <c r="B66" s="69">
        <v>7</v>
      </c>
      <c r="C66" s="74" t="s">
        <v>63</v>
      </c>
      <c r="D66" s="74"/>
      <c r="E66" s="70"/>
      <c r="F66" s="18">
        <f t="shared" si="25"/>
        <v>0</v>
      </c>
      <c r="G66" s="19">
        <f t="shared" si="23"/>
        <v>0</v>
      </c>
      <c r="I66" s="23"/>
      <c r="J66" s="24">
        <f t="shared" si="24"/>
        <v>0</v>
      </c>
      <c r="L66" s="23"/>
      <c r="M66" s="24">
        <f t="shared" si="26"/>
        <v>0</v>
      </c>
      <c r="N66" s="72"/>
      <c r="O66" s="23"/>
      <c r="P66" s="24">
        <f t="shared" si="27"/>
        <v>0</v>
      </c>
      <c r="Q66" s="25"/>
      <c r="R66" s="23"/>
      <c r="S66" s="24">
        <f t="shared" si="28"/>
        <v>0</v>
      </c>
      <c r="T66" s="72"/>
      <c r="U66" s="23"/>
      <c r="V66" s="24">
        <f t="shared" si="29"/>
        <v>0</v>
      </c>
      <c r="W66" s="72"/>
      <c r="X66" s="23"/>
      <c r="Y66" s="24">
        <f t="shared" si="30"/>
        <v>0</v>
      </c>
      <c r="Z66" s="25"/>
      <c r="AA66" s="23"/>
      <c r="AB66" s="24">
        <f t="shared" si="31"/>
        <v>0</v>
      </c>
      <c r="AD66" s="73"/>
      <c r="AE66" s="29"/>
      <c r="AF66" s="26"/>
    </row>
    <row r="67" spans="1:32" s="71" customFormat="1" outlineLevel="1">
      <c r="A67" s="68">
        <f>A58</f>
        <v>2</v>
      </c>
      <c r="B67" s="69">
        <v>8</v>
      </c>
      <c r="C67" s="74" t="s">
        <v>64</v>
      </c>
      <c r="D67" s="74"/>
      <c r="E67" s="70"/>
      <c r="F67" s="18">
        <f t="shared" si="25"/>
        <v>0</v>
      </c>
      <c r="G67" s="19">
        <f t="shared" si="23"/>
        <v>0</v>
      </c>
      <c r="I67" s="23"/>
      <c r="J67" s="24">
        <f t="shared" si="24"/>
        <v>0</v>
      </c>
      <c r="L67" s="23"/>
      <c r="M67" s="24">
        <f t="shared" si="26"/>
        <v>0</v>
      </c>
      <c r="N67" s="72"/>
      <c r="O67" s="23"/>
      <c r="P67" s="24">
        <f t="shared" si="27"/>
        <v>0</v>
      </c>
      <c r="Q67" s="25"/>
      <c r="R67" s="23"/>
      <c r="S67" s="24">
        <f t="shared" si="28"/>
        <v>0</v>
      </c>
      <c r="T67" s="72"/>
      <c r="U67" s="23"/>
      <c r="V67" s="24">
        <f t="shared" si="29"/>
        <v>0</v>
      </c>
      <c r="W67" s="72"/>
      <c r="X67" s="23"/>
      <c r="Y67" s="24">
        <f t="shared" si="30"/>
        <v>0</v>
      </c>
      <c r="Z67" s="25"/>
      <c r="AA67" s="23"/>
      <c r="AB67" s="24">
        <f t="shared" si="31"/>
        <v>0</v>
      </c>
      <c r="AD67" s="73"/>
      <c r="AE67" s="29"/>
      <c r="AF67" s="26"/>
    </row>
    <row r="68" spans="1:32" s="70" customFormat="1" outlineLevel="1">
      <c r="A68" s="68">
        <f>A58</f>
        <v>2</v>
      </c>
      <c r="B68" s="69">
        <v>9</v>
      </c>
      <c r="C68" s="71"/>
      <c r="D68" s="71"/>
      <c r="F68" s="18">
        <f t="shared" si="25"/>
        <v>0</v>
      </c>
      <c r="G68" s="19">
        <f t="shared" si="23"/>
        <v>0</v>
      </c>
      <c r="I68" s="23"/>
      <c r="J68" s="24">
        <f t="shared" si="24"/>
        <v>0</v>
      </c>
      <c r="L68" s="23"/>
      <c r="M68" s="24">
        <f t="shared" si="26"/>
        <v>0</v>
      </c>
      <c r="O68" s="23"/>
      <c r="P68" s="24">
        <f t="shared" si="27"/>
        <v>0</v>
      </c>
      <c r="R68" s="23"/>
      <c r="S68" s="24">
        <f t="shared" si="28"/>
        <v>0</v>
      </c>
      <c r="U68" s="23"/>
      <c r="V68" s="24">
        <f t="shared" si="29"/>
        <v>0</v>
      </c>
      <c r="X68" s="23"/>
      <c r="Y68" s="24">
        <f t="shared" si="30"/>
        <v>0</v>
      </c>
      <c r="AA68" s="23"/>
      <c r="AB68" s="24">
        <f t="shared" si="31"/>
        <v>0</v>
      </c>
      <c r="AD68" s="73"/>
      <c r="AE68" s="29"/>
      <c r="AF68" s="26"/>
    </row>
    <row r="69" spans="1:32" s="70" customFormat="1" outlineLevel="1">
      <c r="A69" s="68">
        <f>A58</f>
        <v>2</v>
      </c>
      <c r="B69" s="69">
        <v>10</v>
      </c>
      <c r="C69" s="71"/>
      <c r="D69" s="71"/>
      <c r="F69" s="18">
        <f t="shared" si="25"/>
        <v>0</v>
      </c>
      <c r="G69" s="19">
        <f t="shared" si="23"/>
        <v>0</v>
      </c>
      <c r="I69" s="23"/>
      <c r="J69" s="24">
        <f t="shared" si="24"/>
        <v>0</v>
      </c>
      <c r="L69" s="23"/>
      <c r="M69" s="24">
        <f t="shared" si="26"/>
        <v>0</v>
      </c>
      <c r="O69" s="23"/>
      <c r="P69" s="24">
        <f t="shared" si="27"/>
        <v>0</v>
      </c>
      <c r="R69" s="23"/>
      <c r="S69" s="24">
        <f t="shared" si="28"/>
        <v>0</v>
      </c>
      <c r="U69" s="23"/>
      <c r="V69" s="24">
        <f t="shared" si="29"/>
        <v>0</v>
      </c>
      <c r="X69" s="23"/>
      <c r="Y69" s="24">
        <f t="shared" si="30"/>
        <v>0</v>
      </c>
      <c r="AA69" s="23"/>
      <c r="AB69" s="24">
        <f t="shared" si="31"/>
        <v>0</v>
      </c>
      <c r="AD69" s="73"/>
      <c r="AE69" s="29"/>
      <c r="AF69" s="26"/>
    </row>
    <row r="70" spans="1:32" s="70" customFormat="1" outlineLevel="1">
      <c r="A70" s="68">
        <f>A58</f>
        <v>2</v>
      </c>
      <c r="B70" s="69">
        <v>11</v>
      </c>
      <c r="C70" s="81"/>
      <c r="D70" s="81"/>
      <c r="F70" s="18">
        <f t="shared" si="25"/>
        <v>0</v>
      </c>
      <c r="G70" s="19">
        <f t="shared" si="23"/>
        <v>0</v>
      </c>
      <c r="I70" s="23"/>
      <c r="J70" s="24">
        <f t="shared" si="24"/>
        <v>0</v>
      </c>
      <c r="L70" s="23"/>
      <c r="M70" s="24">
        <f t="shared" si="26"/>
        <v>0</v>
      </c>
      <c r="O70" s="23"/>
      <c r="P70" s="24">
        <f t="shared" si="27"/>
        <v>0</v>
      </c>
      <c r="R70" s="23"/>
      <c r="S70" s="24">
        <f t="shared" si="28"/>
        <v>0</v>
      </c>
      <c r="U70" s="23"/>
      <c r="V70" s="24">
        <f t="shared" si="29"/>
        <v>0</v>
      </c>
      <c r="X70" s="23"/>
      <c r="Y70" s="24">
        <f t="shared" si="30"/>
        <v>0</v>
      </c>
      <c r="AA70" s="23"/>
      <c r="AB70" s="24">
        <f t="shared" si="31"/>
        <v>0</v>
      </c>
      <c r="AD70" s="73"/>
      <c r="AE70" s="29"/>
      <c r="AF70" s="26"/>
    </row>
    <row r="71" spans="1:32" s="70" customFormat="1" outlineLevel="1">
      <c r="A71" s="68">
        <f>A58</f>
        <v>2</v>
      </c>
      <c r="B71" s="69">
        <v>12</v>
      </c>
      <c r="C71" s="71"/>
      <c r="D71" s="71"/>
      <c r="F71" s="18">
        <f t="shared" si="25"/>
        <v>0</v>
      </c>
      <c r="G71" s="19">
        <f t="shared" si="23"/>
        <v>0</v>
      </c>
      <c r="I71" s="23"/>
      <c r="J71" s="24">
        <f t="shared" si="24"/>
        <v>0</v>
      </c>
      <c r="L71" s="23"/>
      <c r="M71" s="24">
        <f t="shared" si="26"/>
        <v>0</v>
      </c>
      <c r="O71" s="23"/>
      <c r="P71" s="24">
        <f t="shared" si="27"/>
        <v>0</v>
      </c>
      <c r="R71" s="23"/>
      <c r="S71" s="24">
        <f t="shared" si="28"/>
        <v>0</v>
      </c>
      <c r="U71" s="23"/>
      <c r="V71" s="24">
        <f t="shared" si="29"/>
        <v>0</v>
      </c>
      <c r="X71" s="23"/>
      <c r="Y71" s="24">
        <f t="shared" si="30"/>
        <v>0</v>
      </c>
      <c r="AA71" s="23"/>
      <c r="AB71" s="24">
        <f t="shared" si="31"/>
        <v>0</v>
      </c>
      <c r="AD71" s="73"/>
      <c r="AE71" s="29"/>
      <c r="AF71" s="26"/>
    </row>
    <row r="72" spans="1:32" s="70" customFormat="1" outlineLevel="1">
      <c r="A72" s="68">
        <f>A58</f>
        <v>2</v>
      </c>
      <c r="B72" s="69">
        <v>13</v>
      </c>
      <c r="F72" s="18">
        <f t="shared" si="25"/>
        <v>0</v>
      </c>
      <c r="G72" s="19">
        <f t="shared" si="23"/>
        <v>0</v>
      </c>
      <c r="I72" s="23"/>
      <c r="J72" s="24">
        <f t="shared" si="24"/>
        <v>0</v>
      </c>
      <c r="L72" s="23"/>
      <c r="M72" s="24">
        <f t="shared" si="26"/>
        <v>0</v>
      </c>
      <c r="O72" s="23"/>
      <c r="P72" s="24">
        <f t="shared" si="27"/>
        <v>0</v>
      </c>
      <c r="R72" s="23"/>
      <c r="S72" s="24">
        <f t="shared" si="28"/>
        <v>0</v>
      </c>
      <c r="U72" s="23"/>
      <c r="V72" s="24">
        <f t="shared" si="29"/>
        <v>0</v>
      </c>
      <c r="X72" s="23"/>
      <c r="Y72" s="24">
        <f t="shared" si="30"/>
        <v>0</v>
      </c>
      <c r="AA72" s="23"/>
      <c r="AB72" s="24">
        <f t="shared" si="31"/>
        <v>0</v>
      </c>
      <c r="AD72" s="73"/>
      <c r="AE72" s="29"/>
      <c r="AF72" s="26"/>
    </row>
    <row r="73" spans="1:32" s="70" customFormat="1" outlineLevel="1">
      <c r="A73" s="68">
        <f>A58</f>
        <v>2</v>
      </c>
      <c r="B73" s="69">
        <v>14</v>
      </c>
      <c r="F73" s="18">
        <f t="shared" si="25"/>
        <v>0</v>
      </c>
      <c r="G73" s="19">
        <f t="shared" si="23"/>
        <v>0</v>
      </c>
      <c r="I73" s="23"/>
      <c r="J73" s="24">
        <f t="shared" si="24"/>
        <v>0</v>
      </c>
      <c r="L73" s="23"/>
      <c r="M73" s="24">
        <f t="shared" si="26"/>
        <v>0</v>
      </c>
      <c r="O73" s="23"/>
      <c r="P73" s="24">
        <f t="shared" si="27"/>
        <v>0</v>
      </c>
      <c r="R73" s="23"/>
      <c r="S73" s="24">
        <f t="shared" si="28"/>
        <v>0</v>
      </c>
      <c r="U73" s="23"/>
      <c r="V73" s="24">
        <f t="shared" si="29"/>
        <v>0</v>
      </c>
      <c r="X73" s="23"/>
      <c r="Y73" s="24">
        <f t="shared" si="30"/>
        <v>0</v>
      </c>
      <c r="AA73" s="23"/>
      <c r="AB73" s="24">
        <f t="shared" si="31"/>
        <v>0</v>
      </c>
      <c r="AD73" s="73"/>
      <c r="AE73" s="29"/>
      <c r="AF73" s="26"/>
    </row>
    <row r="74" spans="1:32" s="66" customFormat="1">
      <c r="A74" s="63">
        <f>A58</f>
        <v>2</v>
      </c>
      <c r="B74" s="64"/>
      <c r="C74" s="65" t="s">
        <v>41</v>
      </c>
      <c r="D74" s="65"/>
      <c r="E74" s="65"/>
      <c r="F74" s="64">
        <f>SUBTOTAL(9,F75:F80)</f>
        <v>0</v>
      </c>
      <c r="G74" s="22">
        <f>SUBTOTAL(9,G75:G80)</f>
        <v>0</v>
      </c>
      <c r="H74" s="64"/>
      <c r="I74" s="64"/>
      <c r="J74" s="27"/>
      <c r="K74" s="64"/>
      <c r="L74" s="64"/>
      <c r="M74" s="27"/>
      <c r="O74" s="64"/>
      <c r="P74" s="27"/>
      <c r="Q74" s="21"/>
      <c r="R74" s="64"/>
      <c r="S74" s="27"/>
      <c r="U74" s="64"/>
      <c r="V74" s="27"/>
      <c r="X74" s="64"/>
      <c r="Y74" s="27"/>
      <c r="Z74" s="21"/>
      <c r="AA74" s="64"/>
      <c r="AB74" s="27"/>
      <c r="AD74" s="67"/>
      <c r="AE74" s="28"/>
      <c r="AF74" s="27">
        <f>SUBTOTAL(9,AF75:AF80)</f>
        <v>0</v>
      </c>
    </row>
    <row r="75" spans="1:32" outlineLevel="1">
      <c r="A75" s="68">
        <f>A58</f>
        <v>2</v>
      </c>
      <c r="B75" s="4">
        <v>15</v>
      </c>
      <c r="C75" s="74" t="s">
        <v>65</v>
      </c>
      <c r="D75" s="74"/>
      <c r="F75" s="18">
        <f t="shared" ref="F75:F80" si="32">I75+L75+O75+R75+U75+X75+AA75</f>
        <v>0</v>
      </c>
      <c r="G75" s="19">
        <f t="shared" ref="G75:G80" si="33">J75+M75+P75+S75+V75+Y75+AB75+AF75</f>
        <v>0</v>
      </c>
      <c r="I75" s="3"/>
      <c r="J75" s="10"/>
      <c r="L75" s="3"/>
      <c r="M75" s="10"/>
      <c r="O75" s="3"/>
      <c r="P75" s="10"/>
      <c r="R75" s="3"/>
      <c r="S75" s="10"/>
      <c r="U75" s="3"/>
      <c r="V75" s="10"/>
      <c r="X75" s="3"/>
      <c r="Y75" s="10"/>
      <c r="AA75" s="3"/>
      <c r="AB75" s="10"/>
      <c r="AD75" s="75"/>
      <c r="AE75" s="39">
        <v>0</v>
      </c>
      <c r="AF75" s="40">
        <f t="shared" ref="AF75:AF80" si="34">AD75*AE75</f>
        <v>0</v>
      </c>
    </row>
    <row r="76" spans="1:32" outlineLevel="1">
      <c r="A76" s="68">
        <f>A58</f>
        <v>2</v>
      </c>
      <c r="B76" s="4">
        <v>16</v>
      </c>
      <c r="C76" s="74" t="s">
        <v>66</v>
      </c>
      <c r="D76" s="74"/>
      <c r="F76" s="18">
        <f t="shared" si="32"/>
        <v>0</v>
      </c>
      <c r="G76" s="19">
        <f t="shared" si="33"/>
        <v>0</v>
      </c>
      <c r="I76" s="3"/>
      <c r="J76" s="10"/>
      <c r="L76" s="3"/>
      <c r="M76" s="10"/>
      <c r="O76" s="3"/>
      <c r="P76" s="10"/>
      <c r="R76" s="3"/>
      <c r="S76" s="10"/>
      <c r="U76" s="3"/>
      <c r="V76" s="10"/>
      <c r="X76" s="3"/>
      <c r="Y76" s="10"/>
      <c r="AA76" s="3"/>
      <c r="AB76" s="10"/>
      <c r="AD76" s="75"/>
      <c r="AE76" s="39">
        <v>0</v>
      </c>
      <c r="AF76" s="40">
        <f t="shared" si="34"/>
        <v>0</v>
      </c>
    </row>
    <row r="77" spans="1:32" outlineLevel="1">
      <c r="A77" s="68">
        <f>A58</f>
        <v>2</v>
      </c>
      <c r="B77" s="4">
        <v>17</v>
      </c>
      <c r="C77" s="1" t="s">
        <v>67</v>
      </c>
      <c r="D77" s="1"/>
      <c r="F77" s="18">
        <f t="shared" si="32"/>
        <v>0</v>
      </c>
      <c r="G77" s="19">
        <f t="shared" si="33"/>
        <v>0</v>
      </c>
      <c r="I77" s="3"/>
      <c r="J77" s="10"/>
      <c r="L77" s="3"/>
      <c r="M77" s="10"/>
      <c r="O77" s="3"/>
      <c r="P77" s="10"/>
      <c r="R77" s="3"/>
      <c r="S77" s="10"/>
      <c r="U77" s="3"/>
      <c r="V77" s="10"/>
      <c r="X77" s="3"/>
      <c r="Y77" s="10"/>
      <c r="AA77" s="3"/>
      <c r="AB77" s="10"/>
      <c r="AD77" s="75"/>
      <c r="AE77" s="39">
        <v>0</v>
      </c>
      <c r="AF77" s="40">
        <f t="shared" si="34"/>
        <v>0</v>
      </c>
    </row>
    <row r="78" spans="1:32" outlineLevel="1">
      <c r="A78" s="68">
        <f>A58</f>
        <v>2</v>
      </c>
      <c r="B78" s="4">
        <v>18</v>
      </c>
      <c r="C78" s="74" t="s">
        <v>14</v>
      </c>
      <c r="D78" s="74"/>
      <c r="F78" s="18">
        <f t="shared" si="32"/>
        <v>0</v>
      </c>
      <c r="G78" s="19">
        <f t="shared" si="33"/>
        <v>0</v>
      </c>
      <c r="I78" s="3"/>
      <c r="J78" s="10"/>
      <c r="L78" s="3"/>
      <c r="M78" s="10"/>
      <c r="O78" s="3"/>
      <c r="P78" s="10"/>
      <c r="R78" s="3"/>
      <c r="S78" s="10"/>
      <c r="U78" s="3"/>
      <c r="V78" s="10"/>
      <c r="X78" s="3"/>
      <c r="Y78" s="10"/>
      <c r="AA78" s="3"/>
      <c r="AB78" s="10"/>
      <c r="AD78" s="75"/>
      <c r="AE78" s="39">
        <v>0</v>
      </c>
      <c r="AF78" s="40">
        <f t="shared" si="34"/>
        <v>0</v>
      </c>
    </row>
    <row r="79" spans="1:32" outlineLevel="1">
      <c r="A79" s="68">
        <f>A58</f>
        <v>2</v>
      </c>
      <c r="B79" s="4">
        <v>19</v>
      </c>
      <c r="C79" s="74" t="s">
        <v>68</v>
      </c>
      <c r="F79" s="18">
        <f t="shared" si="32"/>
        <v>0</v>
      </c>
      <c r="G79" s="19">
        <f t="shared" si="33"/>
        <v>0</v>
      </c>
      <c r="I79" s="3"/>
      <c r="J79" s="10"/>
      <c r="L79" s="3"/>
      <c r="M79" s="10"/>
      <c r="O79" s="3"/>
      <c r="P79" s="10"/>
      <c r="R79" s="3"/>
      <c r="S79" s="10"/>
      <c r="U79" s="3"/>
      <c r="V79" s="10"/>
      <c r="X79" s="3"/>
      <c r="Y79" s="10"/>
      <c r="AA79" s="3"/>
      <c r="AB79" s="10"/>
      <c r="AD79" s="75"/>
      <c r="AE79" s="39">
        <v>0</v>
      </c>
      <c r="AF79" s="40">
        <f t="shared" si="34"/>
        <v>0</v>
      </c>
    </row>
    <row r="80" spans="1:32" ht="13.8" outlineLevel="1" thickBot="1">
      <c r="A80" s="68">
        <f>A58</f>
        <v>2</v>
      </c>
      <c r="B80" s="4">
        <v>20</v>
      </c>
      <c r="F80" s="18">
        <f t="shared" si="32"/>
        <v>0</v>
      </c>
      <c r="G80" s="19">
        <f t="shared" si="33"/>
        <v>0</v>
      </c>
      <c r="I80" s="3"/>
      <c r="J80" s="10"/>
      <c r="L80" s="3"/>
      <c r="M80" s="10"/>
      <c r="O80" s="3"/>
      <c r="P80" s="10"/>
      <c r="R80" s="3"/>
      <c r="S80" s="10"/>
      <c r="U80" s="3"/>
      <c r="V80" s="10"/>
      <c r="X80" s="3"/>
      <c r="Y80" s="10"/>
      <c r="AA80" s="3"/>
      <c r="AB80" s="10"/>
      <c r="AD80" s="75"/>
      <c r="AE80" s="39">
        <v>0</v>
      </c>
      <c r="AF80" s="40">
        <f t="shared" si="34"/>
        <v>0</v>
      </c>
    </row>
    <row r="81" spans="1:32" s="61" customFormat="1" ht="14.4" thickTop="1" thickBot="1">
      <c r="A81" s="58" t="s">
        <v>15</v>
      </c>
      <c r="B81" s="59"/>
      <c r="C81" s="60" t="str">
        <f>CONCATENATE("Product Realization - Prototypes (B0 Samples) - ", D2)</f>
        <v>Product Realization - Prototypes (B0 Samples) - PrkzZm</v>
      </c>
      <c r="D81" s="60"/>
      <c r="E81" s="60"/>
      <c r="F81" s="32">
        <f>SUBTOTAL(9,F83:F114)</f>
        <v>0</v>
      </c>
      <c r="G81" s="33">
        <f>SUBTOTAL(9,G83:G114)</f>
        <v>0</v>
      </c>
      <c r="H81" s="59"/>
      <c r="I81" s="59">
        <f>SUBTOTAL(9,I83:I114)</f>
        <v>0</v>
      </c>
      <c r="J81" s="11">
        <f>SUBTOTAL(9,J83:J114)</f>
        <v>0</v>
      </c>
      <c r="K81" s="59"/>
      <c r="L81" s="59">
        <f>SUBTOTAL(9,L83:L114)</f>
        <v>0</v>
      </c>
      <c r="M81" s="11">
        <f>SUBTOTAL(9,M83:M114)</f>
        <v>0</v>
      </c>
      <c r="O81" s="59">
        <f>SUBTOTAL(9,O83:O114)</f>
        <v>0</v>
      </c>
      <c r="P81" s="11">
        <f>SUBTOTAL(9,P83:P114)</f>
        <v>0</v>
      </c>
      <c r="Q81" s="7"/>
      <c r="R81" s="59">
        <f>SUBTOTAL(9,R83:R114)</f>
        <v>0</v>
      </c>
      <c r="S81" s="11">
        <f>SUBTOTAL(9,S83:S114)</f>
        <v>0</v>
      </c>
      <c r="U81" s="59">
        <f>SUBTOTAL(9,U83:U114)</f>
        <v>0</v>
      </c>
      <c r="V81" s="11">
        <f>SUBTOTAL(9,V83:V114)</f>
        <v>0</v>
      </c>
      <c r="X81" s="59">
        <f>SUBTOTAL(9,X83:X114)</f>
        <v>0</v>
      </c>
      <c r="Y81" s="11">
        <f>SUBTOTAL(9,Y83:Y114)</f>
        <v>0</v>
      </c>
      <c r="Z81" s="7"/>
      <c r="AA81" s="59">
        <f>SUBTOTAL(9,AA83:AA114)</f>
        <v>0</v>
      </c>
      <c r="AB81" s="11">
        <f>SUBTOTAL(9,AB83:AB114)</f>
        <v>0</v>
      </c>
      <c r="AD81" s="62"/>
      <c r="AE81" s="38"/>
      <c r="AF81" s="33">
        <f>SUBTOTAL(9,AF83:AF114)</f>
        <v>0</v>
      </c>
    </row>
    <row r="82" spans="1:32" s="66" customFormat="1" ht="13.8" thickTop="1">
      <c r="A82" s="63" t="str">
        <f>A81</f>
        <v>3.1</v>
      </c>
      <c r="B82" s="64"/>
      <c r="C82" s="65" t="s">
        <v>24</v>
      </c>
      <c r="D82" s="65"/>
      <c r="E82" s="65"/>
      <c r="F82" s="64">
        <f>SUBTOTAL(9,F83:F107)</f>
        <v>0</v>
      </c>
      <c r="G82" s="22">
        <f>SUBTOTAL(9,G83:G107)</f>
        <v>0</v>
      </c>
      <c r="H82" s="64"/>
      <c r="I82" s="64">
        <f>SUBTOTAL(9,I83:I107)</f>
        <v>0</v>
      </c>
      <c r="J82" s="22">
        <f>SUBTOTAL(9,J83:J107)</f>
        <v>0</v>
      </c>
      <c r="K82" s="64"/>
      <c r="L82" s="64">
        <f>SUBTOTAL(9,L83:L107)</f>
        <v>0</v>
      </c>
      <c r="M82" s="22">
        <f>SUBTOTAL(9,M83:M107)</f>
        <v>0</v>
      </c>
      <c r="O82" s="64">
        <f>SUBTOTAL(9,O83:O107)</f>
        <v>0</v>
      </c>
      <c r="P82" s="22">
        <f>SUBTOTAL(9,P83:P107)</f>
        <v>0</v>
      </c>
      <c r="Q82" s="21"/>
      <c r="R82" s="64">
        <f>SUBTOTAL(9,R83:R107)</f>
        <v>0</v>
      </c>
      <c r="S82" s="22">
        <f>SUBTOTAL(9,S83:S107)</f>
        <v>0</v>
      </c>
      <c r="U82" s="64">
        <f>SUBTOTAL(9,U83:U107)</f>
        <v>0</v>
      </c>
      <c r="V82" s="22">
        <f>SUBTOTAL(9,V83:V107)</f>
        <v>0</v>
      </c>
      <c r="X82" s="64">
        <f>SUBTOTAL(9,X83:X107)</f>
        <v>0</v>
      </c>
      <c r="Y82" s="22">
        <f>SUBTOTAL(9,Y83:Y107)</f>
        <v>0</v>
      </c>
      <c r="Z82" s="21"/>
      <c r="AA82" s="64">
        <f>SUBTOTAL(9,AA83:AA107)</f>
        <v>0</v>
      </c>
      <c r="AB82" s="22">
        <f>SUBTOTAL(9,AB83:AB107)</f>
        <v>0</v>
      </c>
      <c r="AD82" s="67"/>
      <c r="AE82" s="28"/>
      <c r="AF82" s="27"/>
    </row>
    <row r="83" spans="1:32" s="71" customFormat="1" outlineLevel="1">
      <c r="A83" s="68" t="str">
        <f>A81</f>
        <v>3.1</v>
      </c>
      <c r="B83" s="69">
        <v>1</v>
      </c>
      <c r="C83" s="74" t="s">
        <v>69</v>
      </c>
      <c r="D83" s="74"/>
      <c r="E83" s="70"/>
      <c r="F83" s="18">
        <f>I83+L83+O83+R83+U83+X83+AA83</f>
        <v>0</v>
      </c>
      <c r="G83" s="19">
        <f t="shared" ref="G83:G99" si="35">J83+M83+P83+S83+V83+Y83+AB83+AF83</f>
        <v>0</v>
      </c>
      <c r="I83" s="23"/>
      <c r="J83" s="24">
        <f t="shared" ref="J83:J107" si="36">I83*J$2</f>
        <v>0</v>
      </c>
      <c r="L83" s="23"/>
      <c r="M83" s="24">
        <f>L83*M$2</f>
        <v>0</v>
      </c>
      <c r="N83" s="72"/>
      <c r="O83" s="23"/>
      <c r="P83" s="24">
        <f>O83*P$2</f>
        <v>0</v>
      </c>
      <c r="Q83" s="25"/>
      <c r="R83" s="23"/>
      <c r="S83" s="24">
        <f>R83*S$2</f>
        <v>0</v>
      </c>
      <c r="T83" s="72"/>
      <c r="U83" s="23"/>
      <c r="V83" s="24">
        <f>U83*V$2</f>
        <v>0</v>
      </c>
      <c r="W83" s="72"/>
      <c r="X83" s="23"/>
      <c r="Y83" s="24">
        <f>X83*Y$2</f>
        <v>0</v>
      </c>
      <c r="Z83" s="25"/>
      <c r="AA83" s="23"/>
      <c r="AB83" s="24">
        <f>AA83*AB$2</f>
        <v>0</v>
      </c>
      <c r="AD83" s="73"/>
      <c r="AE83" s="29"/>
      <c r="AF83" s="26"/>
    </row>
    <row r="84" spans="1:32" s="71" customFormat="1" outlineLevel="1">
      <c r="A84" s="68" t="str">
        <f>A81</f>
        <v>3.1</v>
      </c>
      <c r="B84" s="69">
        <v>2</v>
      </c>
      <c r="C84" s="74" t="s">
        <v>70</v>
      </c>
      <c r="D84" s="74"/>
      <c r="E84" s="70"/>
      <c r="F84" s="18">
        <f>I84+L84+O84+R84+U84+X84+AA84</f>
        <v>0</v>
      </c>
      <c r="G84" s="19">
        <f t="shared" si="35"/>
        <v>0</v>
      </c>
      <c r="I84" s="23"/>
      <c r="J84" s="24">
        <f t="shared" si="36"/>
        <v>0</v>
      </c>
      <c r="L84" s="23"/>
      <c r="M84" s="24">
        <f t="shared" ref="M84:M107" si="37">L84*M$2</f>
        <v>0</v>
      </c>
      <c r="N84" s="72"/>
      <c r="O84" s="23"/>
      <c r="P84" s="24">
        <f t="shared" ref="P84:P107" si="38">O84*P$2</f>
        <v>0</v>
      </c>
      <c r="Q84" s="25"/>
      <c r="R84" s="23"/>
      <c r="S84" s="24">
        <f t="shared" ref="S84:S107" si="39">R84*S$2</f>
        <v>0</v>
      </c>
      <c r="T84" s="72"/>
      <c r="U84" s="23"/>
      <c r="V84" s="24">
        <f t="shared" ref="V84:V107" si="40">U84*V$2</f>
        <v>0</v>
      </c>
      <c r="W84" s="72"/>
      <c r="X84" s="23"/>
      <c r="Y84" s="24">
        <f t="shared" ref="Y84:Y107" si="41">X84*Y$2</f>
        <v>0</v>
      </c>
      <c r="Z84" s="25"/>
      <c r="AA84" s="23"/>
      <c r="AB84" s="24">
        <f t="shared" ref="AB84:AB107" si="42">AA84*AB$2</f>
        <v>0</v>
      </c>
      <c r="AD84" s="73"/>
      <c r="AE84" s="29"/>
      <c r="AF84" s="26"/>
    </row>
    <row r="85" spans="1:32" s="71" customFormat="1" outlineLevel="1">
      <c r="A85" s="68" t="str">
        <f>A81</f>
        <v>3.1</v>
      </c>
      <c r="B85" s="69">
        <v>3</v>
      </c>
      <c r="C85" s="71" t="s">
        <v>71</v>
      </c>
      <c r="E85" s="70"/>
      <c r="F85" s="18">
        <f>I85+L85+O85+R85+U85+X85+AA85</f>
        <v>0</v>
      </c>
      <c r="G85" s="19">
        <f t="shared" si="35"/>
        <v>0</v>
      </c>
      <c r="I85" s="23"/>
      <c r="J85" s="24">
        <f t="shared" si="36"/>
        <v>0</v>
      </c>
      <c r="L85" s="23"/>
      <c r="M85" s="24">
        <f t="shared" si="37"/>
        <v>0</v>
      </c>
      <c r="N85" s="72"/>
      <c r="O85" s="23"/>
      <c r="P85" s="24">
        <f t="shared" si="38"/>
        <v>0</v>
      </c>
      <c r="Q85" s="25"/>
      <c r="R85" s="23"/>
      <c r="S85" s="24">
        <f t="shared" si="39"/>
        <v>0</v>
      </c>
      <c r="T85" s="72"/>
      <c r="U85" s="23"/>
      <c r="V85" s="24">
        <f t="shared" si="40"/>
        <v>0</v>
      </c>
      <c r="W85" s="72"/>
      <c r="X85" s="23"/>
      <c r="Y85" s="24">
        <f t="shared" si="41"/>
        <v>0</v>
      </c>
      <c r="Z85" s="25"/>
      <c r="AA85" s="23"/>
      <c r="AB85" s="24">
        <f t="shared" si="42"/>
        <v>0</v>
      </c>
      <c r="AD85" s="73"/>
      <c r="AE85" s="29"/>
      <c r="AF85" s="26"/>
    </row>
    <row r="86" spans="1:32" s="71" customFormat="1" outlineLevel="1">
      <c r="A86" s="68" t="str">
        <f t="shared" ref="A86" si="43">A84</f>
        <v>3.1</v>
      </c>
      <c r="B86" s="69">
        <v>4</v>
      </c>
      <c r="C86" s="74" t="s">
        <v>72</v>
      </c>
      <c r="D86" s="74"/>
      <c r="E86" s="70"/>
      <c r="F86" s="18">
        <f t="shared" ref="F86:F107" si="44">I86+L86+O86+R86+U86+X86+AA86</f>
        <v>0</v>
      </c>
      <c r="G86" s="19">
        <f t="shared" si="35"/>
        <v>0</v>
      </c>
      <c r="I86" s="23"/>
      <c r="J86" s="24">
        <f t="shared" si="36"/>
        <v>0</v>
      </c>
      <c r="L86" s="23"/>
      <c r="M86" s="24">
        <f t="shared" si="37"/>
        <v>0</v>
      </c>
      <c r="N86" s="72"/>
      <c r="O86" s="23"/>
      <c r="P86" s="24">
        <f t="shared" si="38"/>
        <v>0</v>
      </c>
      <c r="Q86" s="25"/>
      <c r="R86" s="23"/>
      <c r="S86" s="24">
        <f t="shared" si="39"/>
        <v>0</v>
      </c>
      <c r="T86" s="72"/>
      <c r="U86" s="23"/>
      <c r="V86" s="24">
        <f t="shared" si="40"/>
        <v>0</v>
      </c>
      <c r="W86" s="72"/>
      <c r="X86" s="23"/>
      <c r="Y86" s="24">
        <f t="shared" si="41"/>
        <v>0</v>
      </c>
      <c r="Z86" s="25"/>
      <c r="AA86" s="23"/>
      <c r="AB86" s="24">
        <f t="shared" si="42"/>
        <v>0</v>
      </c>
      <c r="AD86" s="73"/>
      <c r="AE86" s="29"/>
      <c r="AF86" s="26"/>
    </row>
    <row r="87" spans="1:32" s="71" customFormat="1" outlineLevel="1">
      <c r="A87" s="68" t="str">
        <f t="shared" ref="A87" si="45">A84</f>
        <v>3.1</v>
      </c>
      <c r="B87" s="69">
        <v>5</v>
      </c>
      <c r="C87" s="74" t="s">
        <v>73</v>
      </c>
      <c r="D87" s="74"/>
      <c r="E87" s="70"/>
      <c r="F87" s="18">
        <f t="shared" si="44"/>
        <v>0</v>
      </c>
      <c r="G87" s="19">
        <f t="shared" si="35"/>
        <v>0</v>
      </c>
      <c r="I87" s="23"/>
      <c r="J87" s="24">
        <f t="shared" si="36"/>
        <v>0</v>
      </c>
      <c r="L87" s="23"/>
      <c r="M87" s="24">
        <f t="shared" si="37"/>
        <v>0</v>
      </c>
      <c r="N87" s="72"/>
      <c r="O87" s="23"/>
      <c r="P87" s="24">
        <f t="shared" si="38"/>
        <v>0</v>
      </c>
      <c r="Q87" s="25"/>
      <c r="R87" s="23"/>
      <c r="S87" s="24">
        <f t="shared" si="39"/>
        <v>0</v>
      </c>
      <c r="T87" s="72"/>
      <c r="U87" s="23"/>
      <c r="V87" s="24">
        <f t="shared" si="40"/>
        <v>0</v>
      </c>
      <c r="W87" s="72"/>
      <c r="X87" s="23"/>
      <c r="Y87" s="24">
        <f t="shared" si="41"/>
        <v>0</v>
      </c>
      <c r="Z87" s="25"/>
      <c r="AA87" s="23"/>
      <c r="AB87" s="24">
        <f t="shared" si="42"/>
        <v>0</v>
      </c>
      <c r="AD87" s="73"/>
      <c r="AE87" s="29"/>
      <c r="AF87" s="26"/>
    </row>
    <row r="88" spans="1:32" s="71" customFormat="1" outlineLevel="1">
      <c r="A88" s="68" t="str">
        <f t="shared" ref="A88" si="46">A84</f>
        <v>3.1</v>
      </c>
      <c r="B88" s="69">
        <v>6</v>
      </c>
      <c r="C88" s="74" t="s">
        <v>74</v>
      </c>
      <c r="D88" s="74"/>
      <c r="E88" s="70"/>
      <c r="F88" s="18">
        <f t="shared" si="44"/>
        <v>0</v>
      </c>
      <c r="G88" s="19">
        <f t="shared" si="35"/>
        <v>0</v>
      </c>
      <c r="I88" s="23"/>
      <c r="J88" s="24">
        <f t="shared" si="36"/>
        <v>0</v>
      </c>
      <c r="L88" s="23"/>
      <c r="M88" s="24">
        <f t="shared" si="37"/>
        <v>0</v>
      </c>
      <c r="N88" s="72"/>
      <c r="O88" s="23"/>
      <c r="P88" s="24">
        <f t="shared" si="38"/>
        <v>0</v>
      </c>
      <c r="Q88" s="25"/>
      <c r="R88" s="23"/>
      <c r="S88" s="24">
        <f t="shared" si="39"/>
        <v>0</v>
      </c>
      <c r="T88" s="72"/>
      <c r="U88" s="23"/>
      <c r="V88" s="24">
        <f t="shared" si="40"/>
        <v>0</v>
      </c>
      <c r="W88" s="72"/>
      <c r="X88" s="23"/>
      <c r="Y88" s="24">
        <f t="shared" si="41"/>
        <v>0</v>
      </c>
      <c r="Z88" s="25"/>
      <c r="AA88" s="23"/>
      <c r="AB88" s="24">
        <f t="shared" si="42"/>
        <v>0</v>
      </c>
      <c r="AD88" s="73"/>
      <c r="AE88" s="29"/>
      <c r="AF88" s="26"/>
    </row>
    <row r="89" spans="1:32" s="71" customFormat="1" outlineLevel="1">
      <c r="A89" s="68" t="str">
        <f t="shared" ref="A89" si="47">A87</f>
        <v>3.1</v>
      </c>
      <c r="B89" s="69">
        <v>7</v>
      </c>
      <c r="C89" s="71" t="s">
        <v>75</v>
      </c>
      <c r="E89" s="70"/>
      <c r="F89" s="18">
        <f t="shared" si="44"/>
        <v>0</v>
      </c>
      <c r="G89" s="19">
        <f t="shared" si="35"/>
        <v>0</v>
      </c>
      <c r="I89" s="23"/>
      <c r="J89" s="24">
        <f t="shared" si="36"/>
        <v>0</v>
      </c>
      <c r="L89" s="23"/>
      <c r="M89" s="24">
        <f t="shared" si="37"/>
        <v>0</v>
      </c>
      <c r="N89" s="72"/>
      <c r="O89" s="23"/>
      <c r="P89" s="24">
        <f t="shared" si="38"/>
        <v>0</v>
      </c>
      <c r="Q89" s="25"/>
      <c r="R89" s="23"/>
      <c r="S89" s="24">
        <f t="shared" si="39"/>
        <v>0</v>
      </c>
      <c r="T89" s="72"/>
      <c r="U89" s="23"/>
      <c r="V89" s="24">
        <f t="shared" si="40"/>
        <v>0</v>
      </c>
      <c r="W89" s="72"/>
      <c r="X89" s="23"/>
      <c r="Y89" s="24">
        <f t="shared" si="41"/>
        <v>0</v>
      </c>
      <c r="Z89" s="25"/>
      <c r="AA89" s="23"/>
      <c r="AB89" s="24">
        <f t="shared" si="42"/>
        <v>0</v>
      </c>
      <c r="AD89" s="73"/>
      <c r="AE89" s="29"/>
      <c r="AF89" s="26"/>
    </row>
    <row r="90" spans="1:32" s="71" customFormat="1" outlineLevel="1">
      <c r="A90" s="68" t="str">
        <f t="shared" ref="A90" si="48">A87</f>
        <v>3.1</v>
      </c>
      <c r="B90" s="69">
        <v>8</v>
      </c>
      <c r="C90" s="71" t="s">
        <v>76</v>
      </c>
      <c r="E90" s="70"/>
      <c r="F90" s="18">
        <f t="shared" si="44"/>
        <v>0</v>
      </c>
      <c r="G90" s="19">
        <f t="shared" si="35"/>
        <v>0</v>
      </c>
      <c r="I90" s="23"/>
      <c r="J90" s="24">
        <f t="shared" si="36"/>
        <v>0</v>
      </c>
      <c r="L90" s="23"/>
      <c r="M90" s="24">
        <f t="shared" si="37"/>
        <v>0</v>
      </c>
      <c r="N90" s="72"/>
      <c r="O90" s="23"/>
      <c r="P90" s="24">
        <f t="shared" si="38"/>
        <v>0</v>
      </c>
      <c r="Q90" s="25"/>
      <c r="R90" s="23"/>
      <c r="S90" s="24">
        <f t="shared" si="39"/>
        <v>0</v>
      </c>
      <c r="T90" s="72"/>
      <c r="U90" s="23"/>
      <c r="V90" s="24">
        <f t="shared" si="40"/>
        <v>0</v>
      </c>
      <c r="W90" s="72"/>
      <c r="X90" s="23"/>
      <c r="Y90" s="24">
        <f t="shared" si="41"/>
        <v>0</v>
      </c>
      <c r="Z90" s="25"/>
      <c r="AA90" s="23"/>
      <c r="AB90" s="24">
        <f t="shared" si="42"/>
        <v>0</v>
      </c>
      <c r="AD90" s="73"/>
      <c r="AE90" s="29"/>
      <c r="AF90" s="26"/>
    </row>
    <row r="91" spans="1:32" s="70" customFormat="1" outlineLevel="1">
      <c r="A91" s="68" t="str">
        <f t="shared" ref="A91" si="49">A87</f>
        <v>3.1</v>
      </c>
      <c r="B91" s="69">
        <v>9</v>
      </c>
      <c r="C91" s="71" t="s">
        <v>77</v>
      </c>
      <c r="D91" s="71"/>
      <c r="F91" s="18">
        <f t="shared" si="44"/>
        <v>0</v>
      </c>
      <c r="G91" s="19">
        <f t="shared" si="35"/>
        <v>0</v>
      </c>
      <c r="I91" s="23"/>
      <c r="J91" s="24">
        <f t="shared" si="36"/>
        <v>0</v>
      </c>
      <c r="L91" s="23"/>
      <c r="M91" s="24">
        <f t="shared" si="37"/>
        <v>0</v>
      </c>
      <c r="O91" s="23"/>
      <c r="P91" s="24">
        <f t="shared" si="38"/>
        <v>0</v>
      </c>
      <c r="R91" s="23"/>
      <c r="S91" s="24">
        <f t="shared" si="39"/>
        <v>0</v>
      </c>
      <c r="U91" s="23"/>
      <c r="V91" s="24">
        <f t="shared" si="40"/>
        <v>0</v>
      </c>
      <c r="X91" s="23"/>
      <c r="Y91" s="24">
        <f t="shared" si="41"/>
        <v>0</v>
      </c>
      <c r="AA91" s="23"/>
      <c r="AB91" s="24">
        <f t="shared" si="42"/>
        <v>0</v>
      </c>
      <c r="AD91" s="73"/>
      <c r="AE91" s="29"/>
      <c r="AF91" s="26"/>
    </row>
    <row r="92" spans="1:32" s="70" customFormat="1" outlineLevel="1">
      <c r="A92" s="68" t="str">
        <f t="shared" ref="A92" si="50">A90</f>
        <v>3.1</v>
      </c>
      <c r="B92" s="69">
        <v>10</v>
      </c>
      <c r="C92" s="74" t="s">
        <v>78</v>
      </c>
      <c r="D92" s="74"/>
      <c r="F92" s="18">
        <f t="shared" si="44"/>
        <v>0</v>
      </c>
      <c r="G92" s="19">
        <f t="shared" si="35"/>
        <v>0</v>
      </c>
      <c r="I92" s="23"/>
      <c r="J92" s="24">
        <f t="shared" si="36"/>
        <v>0</v>
      </c>
      <c r="L92" s="23"/>
      <c r="M92" s="24">
        <f t="shared" si="37"/>
        <v>0</v>
      </c>
      <c r="O92" s="23"/>
      <c r="P92" s="24">
        <f t="shared" si="38"/>
        <v>0</v>
      </c>
      <c r="R92" s="23"/>
      <c r="S92" s="24">
        <f t="shared" si="39"/>
        <v>0</v>
      </c>
      <c r="U92" s="23"/>
      <c r="V92" s="24">
        <f t="shared" si="40"/>
        <v>0</v>
      </c>
      <c r="X92" s="23"/>
      <c r="Y92" s="24">
        <f t="shared" si="41"/>
        <v>0</v>
      </c>
      <c r="AA92" s="23"/>
      <c r="AB92" s="24">
        <f t="shared" si="42"/>
        <v>0</v>
      </c>
      <c r="AD92" s="73"/>
      <c r="AE92" s="29"/>
      <c r="AF92" s="26"/>
    </row>
    <row r="93" spans="1:32" s="70" customFormat="1" outlineLevel="1">
      <c r="A93" s="68" t="str">
        <f t="shared" ref="A93" si="51">A90</f>
        <v>3.1</v>
      </c>
      <c r="B93" s="69">
        <v>11</v>
      </c>
      <c r="C93" s="74" t="s">
        <v>79</v>
      </c>
      <c r="D93" s="74"/>
      <c r="F93" s="18">
        <f t="shared" si="44"/>
        <v>0</v>
      </c>
      <c r="G93" s="19">
        <f t="shared" si="35"/>
        <v>0</v>
      </c>
      <c r="I93" s="23"/>
      <c r="J93" s="24">
        <f t="shared" si="36"/>
        <v>0</v>
      </c>
      <c r="L93" s="23"/>
      <c r="M93" s="24">
        <f t="shared" si="37"/>
        <v>0</v>
      </c>
      <c r="O93" s="23"/>
      <c r="P93" s="24">
        <f t="shared" si="38"/>
        <v>0</v>
      </c>
      <c r="R93" s="23"/>
      <c r="S93" s="24">
        <f t="shared" si="39"/>
        <v>0</v>
      </c>
      <c r="U93" s="23"/>
      <c r="V93" s="24">
        <f t="shared" si="40"/>
        <v>0</v>
      </c>
      <c r="X93" s="23"/>
      <c r="Y93" s="24">
        <f t="shared" si="41"/>
        <v>0</v>
      </c>
      <c r="AA93" s="23"/>
      <c r="AB93" s="24">
        <f t="shared" si="42"/>
        <v>0</v>
      </c>
      <c r="AD93" s="73"/>
      <c r="AE93" s="29"/>
      <c r="AF93" s="26"/>
    </row>
    <row r="94" spans="1:32" s="70" customFormat="1" outlineLevel="1">
      <c r="A94" s="68" t="str">
        <f t="shared" ref="A94" si="52">A90</f>
        <v>3.1</v>
      </c>
      <c r="B94" s="69">
        <v>12</v>
      </c>
      <c r="C94" s="71" t="s">
        <v>80</v>
      </c>
      <c r="D94" s="71"/>
      <c r="F94" s="18">
        <f t="shared" si="44"/>
        <v>0</v>
      </c>
      <c r="G94" s="19">
        <f t="shared" si="35"/>
        <v>0</v>
      </c>
      <c r="I94" s="23"/>
      <c r="J94" s="24">
        <f t="shared" si="36"/>
        <v>0</v>
      </c>
      <c r="L94" s="23"/>
      <c r="M94" s="24">
        <f t="shared" si="37"/>
        <v>0</v>
      </c>
      <c r="O94" s="23"/>
      <c r="P94" s="24">
        <f t="shared" si="38"/>
        <v>0</v>
      </c>
      <c r="R94" s="23"/>
      <c r="S94" s="24">
        <f t="shared" si="39"/>
        <v>0</v>
      </c>
      <c r="U94" s="23"/>
      <c r="V94" s="24">
        <f t="shared" si="40"/>
        <v>0</v>
      </c>
      <c r="X94" s="23"/>
      <c r="Y94" s="24">
        <f t="shared" si="41"/>
        <v>0</v>
      </c>
      <c r="AA94" s="23"/>
      <c r="AB94" s="24">
        <f t="shared" si="42"/>
        <v>0</v>
      </c>
      <c r="AD94" s="73"/>
      <c r="AE94" s="29"/>
      <c r="AF94" s="26"/>
    </row>
    <row r="95" spans="1:32" s="70" customFormat="1" outlineLevel="1">
      <c r="A95" s="68" t="str">
        <f t="shared" ref="A95" si="53">A93</f>
        <v>3.1</v>
      </c>
      <c r="B95" s="69">
        <v>13</v>
      </c>
      <c r="C95" s="70" t="s">
        <v>81</v>
      </c>
      <c r="F95" s="18">
        <f t="shared" si="44"/>
        <v>0</v>
      </c>
      <c r="G95" s="19">
        <f t="shared" si="35"/>
        <v>0</v>
      </c>
      <c r="I95" s="23"/>
      <c r="J95" s="24">
        <f t="shared" si="36"/>
        <v>0</v>
      </c>
      <c r="L95" s="23"/>
      <c r="M95" s="24">
        <f t="shared" si="37"/>
        <v>0</v>
      </c>
      <c r="O95" s="23"/>
      <c r="P95" s="24">
        <f t="shared" si="38"/>
        <v>0</v>
      </c>
      <c r="R95" s="23"/>
      <c r="S95" s="24">
        <f t="shared" si="39"/>
        <v>0</v>
      </c>
      <c r="U95" s="23"/>
      <c r="V95" s="24">
        <f t="shared" si="40"/>
        <v>0</v>
      </c>
      <c r="X95" s="23"/>
      <c r="Y95" s="24">
        <f t="shared" si="41"/>
        <v>0</v>
      </c>
      <c r="AA95" s="23"/>
      <c r="AB95" s="24">
        <f t="shared" si="42"/>
        <v>0</v>
      </c>
      <c r="AD95" s="73"/>
      <c r="AE95" s="29"/>
      <c r="AF95" s="26"/>
    </row>
    <row r="96" spans="1:32" s="70" customFormat="1" outlineLevel="1">
      <c r="A96" s="68" t="str">
        <f t="shared" ref="A96" si="54">A93</f>
        <v>3.1</v>
      </c>
      <c r="B96" s="69">
        <v>14</v>
      </c>
      <c r="C96" s="71" t="s">
        <v>82</v>
      </c>
      <c r="D96" s="71"/>
      <c r="F96" s="18">
        <f t="shared" si="44"/>
        <v>0</v>
      </c>
      <c r="G96" s="19">
        <f t="shared" si="35"/>
        <v>0</v>
      </c>
      <c r="I96" s="23"/>
      <c r="J96" s="24">
        <f t="shared" si="36"/>
        <v>0</v>
      </c>
      <c r="L96" s="23"/>
      <c r="M96" s="24">
        <f t="shared" si="37"/>
        <v>0</v>
      </c>
      <c r="O96" s="23"/>
      <c r="P96" s="24">
        <f t="shared" si="38"/>
        <v>0</v>
      </c>
      <c r="R96" s="23"/>
      <c r="S96" s="24">
        <f t="shared" si="39"/>
        <v>0</v>
      </c>
      <c r="U96" s="23"/>
      <c r="V96" s="24">
        <f t="shared" si="40"/>
        <v>0</v>
      </c>
      <c r="X96" s="23"/>
      <c r="Y96" s="24">
        <f t="shared" si="41"/>
        <v>0</v>
      </c>
      <c r="AA96" s="23"/>
      <c r="AB96" s="24">
        <f t="shared" si="42"/>
        <v>0</v>
      </c>
      <c r="AD96" s="73"/>
      <c r="AE96" s="29"/>
      <c r="AF96" s="26"/>
    </row>
    <row r="97" spans="1:32" s="70" customFormat="1" outlineLevel="1">
      <c r="A97" s="68" t="str">
        <f t="shared" ref="A97" si="55">A93</f>
        <v>3.1</v>
      </c>
      <c r="B97" s="69">
        <v>15</v>
      </c>
      <c r="C97" s="71" t="s">
        <v>83</v>
      </c>
      <c r="D97" s="71"/>
      <c r="F97" s="18">
        <f t="shared" si="44"/>
        <v>0</v>
      </c>
      <c r="G97" s="19">
        <f t="shared" si="35"/>
        <v>0</v>
      </c>
      <c r="I97" s="23"/>
      <c r="J97" s="24">
        <f t="shared" si="36"/>
        <v>0</v>
      </c>
      <c r="L97" s="23"/>
      <c r="M97" s="24">
        <f t="shared" si="37"/>
        <v>0</v>
      </c>
      <c r="O97" s="23"/>
      <c r="P97" s="24">
        <f t="shared" si="38"/>
        <v>0</v>
      </c>
      <c r="R97" s="23"/>
      <c r="S97" s="24">
        <f t="shared" si="39"/>
        <v>0</v>
      </c>
      <c r="U97" s="23"/>
      <c r="V97" s="24">
        <f t="shared" si="40"/>
        <v>0</v>
      </c>
      <c r="X97" s="23"/>
      <c r="Y97" s="24">
        <f t="shared" si="41"/>
        <v>0</v>
      </c>
      <c r="AA97" s="23"/>
      <c r="AB97" s="24">
        <f t="shared" si="42"/>
        <v>0</v>
      </c>
      <c r="AD97" s="73"/>
      <c r="AE97" s="29"/>
      <c r="AF97" s="26"/>
    </row>
    <row r="98" spans="1:32" s="70" customFormat="1" outlineLevel="1">
      <c r="A98" s="68" t="str">
        <f t="shared" ref="A98" si="56">A96</f>
        <v>3.1</v>
      </c>
      <c r="B98" s="69">
        <v>16</v>
      </c>
      <c r="C98" s="71" t="s">
        <v>84</v>
      </c>
      <c r="D98" s="71"/>
      <c r="F98" s="18">
        <f t="shared" si="44"/>
        <v>0</v>
      </c>
      <c r="G98" s="19">
        <f t="shared" si="35"/>
        <v>0</v>
      </c>
      <c r="I98" s="23"/>
      <c r="J98" s="24">
        <f t="shared" si="36"/>
        <v>0</v>
      </c>
      <c r="L98" s="23"/>
      <c r="M98" s="24">
        <f t="shared" si="37"/>
        <v>0</v>
      </c>
      <c r="O98" s="23"/>
      <c r="P98" s="24">
        <f t="shared" si="38"/>
        <v>0</v>
      </c>
      <c r="R98" s="23"/>
      <c r="S98" s="24">
        <f t="shared" si="39"/>
        <v>0</v>
      </c>
      <c r="U98" s="23"/>
      <c r="V98" s="24">
        <f t="shared" si="40"/>
        <v>0</v>
      </c>
      <c r="X98" s="23"/>
      <c r="Y98" s="24">
        <f t="shared" si="41"/>
        <v>0</v>
      </c>
      <c r="AA98" s="23"/>
      <c r="AB98" s="24">
        <f t="shared" si="42"/>
        <v>0</v>
      </c>
      <c r="AD98" s="73"/>
      <c r="AE98" s="29"/>
      <c r="AF98" s="26"/>
    </row>
    <row r="99" spans="1:32" s="70" customFormat="1" outlineLevel="1">
      <c r="A99" s="68" t="str">
        <f t="shared" ref="A99" si="57">A96</f>
        <v>3.1</v>
      </c>
      <c r="B99" s="69">
        <v>17</v>
      </c>
      <c r="C99" s="71" t="s">
        <v>85</v>
      </c>
      <c r="D99" s="71"/>
      <c r="F99" s="18">
        <f t="shared" si="44"/>
        <v>0</v>
      </c>
      <c r="G99" s="19">
        <f t="shared" si="35"/>
        <v>0</v>
      </c>
      <c r="I99" s="23"/>
      <c r="J99" s="24">
        <f t="shared" si="36"/>
        <v>0</v>
      </c>
      <c r="L99" s="23"/>
      <c r="M99" s="24">
        <f t="shared" si="37"/>
        <v>0</v>
      </c>
      <c r="O99" s="23"/>
      <c r="P99" s="24">
        <f t="shared" si="38"/>
        <v>0</v>
      </c>
      <c r="R99" s="23"/>
      <c r="S99" s="24">
        <f t="shared" si="39"/>
        <v>0</v>
      </c>
      <c r="U99" s="23"/>
      <c r="V99" s="24">
        <f t="shared" si="40"/>
        <v>0</v>
      </c>
      <c r="X99" s="23"/>
      <c r="Y99" s="24">
        <f t="shared" si="41"/>
        <v>0</v>
      </c>
      <c r="AA99" s="23"/>
      <c r="AB99" s="24">
        <f t="shared" si="42"/>
        <v>0</v>
      </c>
      <c r="AD99" s="73"/>
      <c r="AE99" s="29"/>
      <c r="AF99" s="26"/>
    </row>
    <row r="100" spans="1:32" s="70" customFormat="1" outlineLevel="1">
      <c r="A100" s="68" t="str">
        <f t="shared" ref="A100" si="58">A96</f>
        <v>3.1</v>
      </c>
      <c r="B100" s="69">
        <v>18</v>
      </c>
      <c r="C100" s="71" t="s">
        <v>86</v>
      </c>
      <c r="D100" s="71"/>
      <c r="F100" s="18">
        <f t="shared" si="44"/>
        <v>0</v>
      </c>
      <c r="G100" s="19">
        <f>J100+M100+P100+S100+V100+Y100+AB100+AF100</f>
        <v>0</v>
      </c>
      <c r="I100" s="23"/>
      <c r="J100" s="24">
        <f t="shared" si="36"/>
        <v>0</v>
      </c>
      <c r="L100" s="23"/>
      <c r="M100" s="24">
        <f t="shared" si="37"/>
        <v>0</v>
      </c>
      <c r="O100" s="23"/>
      <c r="P100" s="24">
        <f t="shared" si="38"/>
        <v>0</v>
      </c>
      <c r="R100" s="23"/>
      <c r="S100" s="24">
        <f t="shared" si="39"/>
        <v>0</v>
      </c>
      <c r="U100" s="23"/>
      <c r="V100" s="24">
        <f t="shared" si="40"/>
        <v>0</v>
      </c>
      <c r="X100" s="23"/>
      <c r="Y100" s="24">
        <f t="shared" si="41"/>
        <v>0</v>
      </c>
      <c r="AA100" s="23"/>
      <c r="AB100" s="24">
        <f t="shared" si="42"/>
        <v>0</v>
      </c>
      <c r="AD100" s="73"/>
      <c r="AE100" s="29"/>
      <c r="AF100" s="26"/>
    </row>
    <row r="101" spans="1:32" s="70" customFormat="1" outlineLevel="1">
      <c r="A101" s="68" t="str">
        <f t="shared" ref="A101" si="59">A99</f>
        <v>3.1</v>
      </c>
      <c r="B101" s="69">
        <v>19</v>
      </c>
      <c r="C101" s="70" t="s">
        <v>87</v>
      </c>
      <c r="F101" s="18">
        <f t="shared" si="44"/>
        <v>0</v>
      </c>
      <c r="G101" s="19">
        <f t="shared" ref="G101:G107" si="60">J101+M101+P101+S101+V101+Y101+AB101+AF101</f>
        <v>0</v>
      </c>
      <c r="I101" s="23"/>
      <c r="J101" s="24">
        <f t="shared" si="36"/>
        <v>0</v>
      </c>
      <c r="L101" s="23"/>
      <c r="M101" s="24">
        <f t="shared" si="37"/>
        <v>0</v>
      </c>
      <c r="O101" s="23"/>
      <c r="P101" s="24">
        <f t="shared" si="38"/>
        <v>0</v>
      </c>
      <c r="R101" s="23"/>
      <c r="S101" s="24">
        <f t="shared" si="39"/>
        <v>0</v>
      </c>
      <c r="U101" s="23"/>
      <c r="V101" s="24">
        <f t="shared" si="40"/>
        <v>0</v>
      </c>
      <c r="X101" s="23"/>
      <c r="Y101" s="24">
        <f t="shared" si="41"/>
        <v>0</v>
      </c>
      <c r="AA101" s="23"/>
      <c r="AB101" s="24">
        <f t="shared" si="42"/>
        <v>0</v>
      </c>
      <c r="AD101" s="73"/>
      <c r="AE101" s="29"/>
      <c r="AF101" s="26"/>
    </row>
    <row r="102" spans="1:32" s="70" customFormat="1" outlineLevel="1">
      <c r="A102" s="68" t="str">
        <f t="shared" ref="A102" si="61">A99</f>
        <v>3.1</v>
      </c>
      <c r="B102" s="69">
        <v>20</v>
      </c>
      <c r="C102" s="71" t="s">
        <v>88</v>
      </c>
      <c r="D102" s="71"/>
      <c r="F102" s="18">
        <f t="shared" si="44"/>
        <v>0</v>
      </c>
      <c r="G102" s="19">
        <f t="shared" si="60"/>
        <v>0</v>
      </c>
      <c r="I102" s="23"/>
      <c r="J102" s="24">
        <f t="shared" si="36"/>
        <v>0</v>
      </c>
      <c r="L102" s="23"/>
      <c r="M102" s="24">
        <f t="shared" si="37"/>
        <v>0</v>
      </c>
      <c r="O102" s="23"/>
      <c r="P102" s="24">
        <f t="shared" si="38"/>
        <v>0</v>
      </c>
      <c r="R102" s="23"/>
      <c r="S102" s="24">
        <f t="shared" si="39"/>
        <v>0</v>
      </c>
      <c r="U102" s="23"/>
      <c r="V102" s="24">
        <f t="shared" si="40"/>
        <v>0</v>
      </c>
      <c r="X102" s="23"/>
      <c r="Y102" s="24">
        <f t="shared" si="41"/>
        <v>0</v>
      </c>
      <c r="AA102" s="23"/>
      <c r="AB102" s="24">
        <f t="shared" si="42"/>
        <v>0</v>
      </c>
      <c r="AD102" s="73"/>
      <c r="AE102" s="29"/>
      <c r="AF102" s="26"/>
    </row>
    <row r="103" spans="1:32" s="70" customFormat="1" outlineLevel="1">
      <c r="A103" s="68" t="str">
        <f t="shared" ref="A103" si="62">A99</f>
        <v>3.1</v>
      </c>
      <c r="B103" s="69">
        <v>21</v>
      </c>
      <c r="C103" s="70" t="s">
        <v>53</v>
      </c>
      <c r="F103" s="18">
        <f t="shared" si="44"/>
        <v>0</v>
      </c>
      <c r="G103" s="19">
        <f t="shared" si="60"/>
        <v>0</v>
      </c>
      <c r="I103" s="23"/>
      <c r="J103" s="24">
        <f t="shared" si="36"/>
        <v>0</v>
      </c>
      <c r="L103" s="23"/>
      <c r="M103" s="24">
        <f t="shared" si="37"/>
        <v>0</v>
      </c>
      <c r="O103" s="23"/>
      <c r="P103" s="24">
        <f t="shared" si="38"/>
        <v>0</v>
      </c>
      <c r="R103" s="23"/>
      <c r="S103" s="24">
        <f t="shared" si="39"/>
        <v>0</v>
      </c>
      <c r="U103" s="23"/>
      <c r="V103" s="24">
        <f t="shared" si="40"/>
        <v>0</v>
      </c>
      <c r="X103" s="23"/>
      <c r="Y103" s="24">
        <f t="shared" si="41"/>
        <v>0</v>
      </c>
      <c r="AA103" s="23"/>
      <c r="AB103" s="24">
        <f t="shared" si="42"/>
        <v>0</v>
      </c>
      <c r="AD103" s="73"/>
      <c r="AE103" s="29"/>
      <c r="AF103" s="26"/>
    </row>
    <row r="104" spans="1:32" s="70" customFormat="1" outlineLevel="1">
      <c r="A104" s="68" t="str">
        <f t="shared" ref="A104" si="63">A102</f>
        <v>3.1</v>
      </c>
      <c r="B104" s="69">
        <v>22</v>
      </c>
      <c r="C104" s="74" t="s">
        <v>89</v>
      </c>
      <c r="D104" s="74"/>
      <c r="F104" s="18">
        <f t="shared" si="44"/>
        <v>0</v>
      </c>
      <c r="G104" s="19">
        <f t="shared" si="60"/>
        <v>0</v>
      </c>
      <c r="I104" s="23"/>
      <c r="J104" s="24">
        <f t="shared" si="36"/>
        <v>0</v>
      </c>
      <c r="L104" s="23"/>
      <c r="M104" s="24">
        <f t="shared" si="37"/>
        <v>0</v>
      </c>
      <c r="O104" s="23"/>
      <c r="P104" s="24">
        <f t="shared" si="38"/>
        <v>0</v>
      </c>
      <c r="R104" s="23"/>
      <c r="S104" s="24">
        <f t="shared" si="39"/>
        <v>0</v>
      </c>
      <c r="U104" s="23"/>
      <c r="V104" s="24">
        <f t="shared" si="40"/>
        <v>0</v>
      </c>
      <c r="X104" s="23"/>
      <c r="Y104" s="24">
        <f t="shared" si="41"/>
        <v>0</v>
      </c>
      <c r="AA104" s="23"/>
      <c r="AB104" s="24">
        <f t="shared" si="42"/>
        <v>0</v>
      </c>
      <c r="AD104" s="73"/>
      <c r="AE104" s="29"/>
      <c r="AF104" s="26"/>
    </row>
    <row r="105" spans="1:32" s="70" customFormat="1" outlineLevel="1">
      <c r="A105" s="68" t="str">
        <f t="shared" ref="A105" si="64">A102</f>
        <v>3.1</v>
      </c>
      <c r="B105" s="69">
        <v>23</v>
      </c>
      <c r="F105" s="18">
        <f t="shared" si="44"/>
        <v>0</v>
      </c>
      <c r="G105" s="19">
        <f t="shared" si="60"/>
        <v>0</v>
      </c>
      <c r="I105" s="23"/>
      <c r="J105" s="24">
        <f t="shared" si="36"/>
        <v>0</v>
      </c>
      <c r="L105" s="23"/>
      <c r="M105" s="24">
        <f t="shared" si="37"/>
        <v>0</v>
      </c>
      <c r="O105" s="23"/>
      <c r="P105" s="24">
        <f t="shared" si="38"/>
        <v>0</v>
      </c>
      <c r="R105" s="23"/>
      <c r="S105" s="24">
        <f t="shared" si="39"/>
        <v>0</v>
      </c>
      <c r="U105" s="23"/>
      <c r="V105" s="24">
        <f t="shared" si="40"/>
        <v>0</v>
      </c>
      <c r="X105" s="23"/>
      <c r="Y105" s="24">
        <f t="shared" si="41"/>
        <v>0</v>
      </c>
      <c r="AA105" s="23"/>
      <c r="AB105" s="24">
        <f t="shared" si="42"/>
        <v>0</v>
      </c>
      <c r="AD105" s="73"/>
      <c r="AE105" s="29"/>
      <c r="AF105" s="26"/>
    </row>
    <row r="106" spans="1:32" s="70" customFormat="1" outlineLevel="1">
      <c r="A106" s="68" t="str">
        <f t="shared" ref="A106" si="65">A102</f>
        <v>3.1</v>
      </c>
      <c r="B106" s="69">
        <v>24</v>
      </c>
      <c r="C106" s="71"/>
      <c r="D106" s="71"/>
      <c r="F106" s="18">
        <f t="shared" si="44"/>
        <v>0</v>
      </c>
      <c r="G106" s="19">
        <f t="shared" si="60"/>
        <v>0</v>
      </c>
      <c r="I106" s="23"/>
      <c r="J106" s="24">
        <f t="shared" si="36"/>
        <v>0</v>
      </c>
      <c r="L106" s="23"/>
      <c r="M106" s="24">
        <f t="shared" si="37"/>
        <v>0</v>
      </c>
      <c r="O106" s="23"/>
      <c r="P106" s="24">
        <f t="shared" si="38"/>
        <v>0</v>
      </c>
      <c r="R106" s="23"/>
      <c r="S106" s="24">
        <f t="shared" si="39"/>
        <v>0</v>
      </c>
      <c r="U106" s="23"/>
      <c r="V106" s="24">
        <f t="shared" si="40"/>
        <v>0</v>
      </c>
      <c r="X106" s="23"/>
      <c r="Y106" s="24">
        <f t="shared" si="41"/>
        <v>0</v>
      </c>
      <c r="AA106" s="23"/>
      <c r="AB106" s="24">
        <f t="shared" si="42"/>
        <v>0</v>
      </c>
      <c r="AD106" s="73"/>
      <c r="AE106" s="29"/>
      <c r="AF106" s="26"/>
    </row>
    <row r="107" spans="1:32" s="70" customFormat="1" outlineLevel="1">
      <c r="A107" s="68" t="str">
        <f t="shared" ref="A107" si="66">A105</f>
        <v>3.1</v>
      </c>
      <c r="B107" s="69">
        <v>25</v>
      </c>
      <c r="F107" s="18">
        <f t="shared" si="44"/>
        <v>0</v>
      </c>
      <c r="G107" s="19">
        <f t="shared" si="60"/>
        <v>0</v>
      </c>
      <c r="I107" s="23"/>
      <c r="J107" s="24">
        <f t="shared" si="36"/>
        <v>0</v>
      </c>
      <c r="L107" s="23"/>
      <c r="M107" s="24">
        <f t="shared" si="37"/>
        <v>0</v>
      </c>
      <c r="O107" s="23"/>
      <c r="P107" s="24">
        <f t="shared" si="38"/>
        <v>0</v>
      </c>
      <c r="R107" s="23"/>
      <c r="S107" s="24">
        <f t="shared" si="39"/>
        <v>0</v>
      </c>
      <c r="U107" s="23"/>
      <c r="V107" s="24">
        <f t="shared" si="40"/>
        <v>0</v>
      </c>
      <c r="X107" s="23"/>
      <c r="Y107" s="24">
        <f t="shared" si="41"/>
        <v>0</v>
      </c>
      <c r="AA107" s="23"/>
      <c r="AB107" s="24">
        <f t="shared" si="42"/>
        <v>0</v>
      </c>
      <c r="AD107" s="73"/>
      <c r="AE107" s="29"/>
      <c r="AF107" s="26"/>
    </row>
    <row r="108" spans="1:32" s="66" customFormat="1">
      <c r="A108" s="63" t="str">
        <f>A81</f>
        <v>3.1</v>
      </c>
      <c r="B108" s="64"/>
      <c r="C108" s="65" t="s">
        <v>41</v>
      </c>
      <c r="D108" s="65"/>
      <c r="E108" s="65"/>
      <c r="F108" s="64">
        <f>SUBTOTAL(9,F109:F114)</f>
        <v>0</v>
      </c>
      <c r="G108" s="22">
        <f>SUBTOTAL(9,G109:G114)</f>
        <v>0</v>
      </c>
      <c r="H108" s="64"/>
      <c r="I108" s="64"/>
      <c r="J108" s="27"/>
      <c r="K108" s="64"/>
      <c r="L108" s="64"/>
      <c r="M108" s="27"/>
      <c r="O108" s="64"/>
      <c r="P108" s="27"/>
      <c r="Q108" s="21"/>
      <c r="R108" s="64"/>
      <c r="S108" s="27"/>
      <c r="U108" s="64"/>
      <c r="V108" s="27"/>
      <c r="X108" s="64"/>
      <c r="Y108" s="27"/>
      <c r="Z108" s="21"/>
      <c r="AA108" s="64"/>
      <c r="AB108" s="27"/>
      <c r="AD108" s="67"/>
      <c r="AE108" s="28"/>
      <c r="AF108" s="27">
        <f>SUBTOTAL(9,AF109:AF114)</f>
        <v>0</v>
      </c>
    </row>
    <row r="109" spans="1:32" outlineLevel="1">
      <c r="A109" s="68" t="str">
        <f>A81</f>
        <v>3.1</v>
      </c>
      <c r="B109" s="4">
        <v>15</v>
      </c>
      <c r="C109" s="74" t="s">
        <v>90</v>
      </c>
      <c r="D109" s="74"/>
      <c r="F109" s="18">
        <f t="shared" ref="F109:F114" si="67">I109+L109+O109+R109+U109+X109+AA109</f>
        <v>0</v>
      </c>
      <c r="G109" s="19">
        <f>J109+M109+P109+S109+V109+Y109+AB109+AF109</f>
        <v>0</v>
      </c>
      <c r="I109" s="3"/>
      <c r="J109" s="10"/>
      <c r="L109" s="3"/>
      <c r="M109" s="10"/>
      <c r="O109" s="3"/>
      <c r="P109" s="10"/>
      <c r="R109" s="3"/>
      <c r="S109" s="10"/>
      <c r="U109" s="3"/>
      <c r="V109" s="10"/>
      <c r="X109" s="3"/>
      <c r="Y109" s="10"/>
      <c r="AA109" s="3"/>
      <c r="AB109" s="10"/>
      <c r="AD109" s="75"/>
      <c r="AE109" s="39">
        <v>0</v>
      </c>
      <c r="AF109" s="40">
        <f t="shared" ref="AF109:AF114" si="68">AD109*AE109</f>
        <v>0</v>
      </c>
    </row>
    <row r="110" spans="1:32" outlineLevel="1">
      <c r="A110" s="68" t="str">
        <f>A81</f>
        <v>3.1</v>
      </c>
      <c r="B110" s="4">
        <v>16</v>
      </c>
      <c r="C110" s="74" t="s">
        <v>91</v>
      </c>
      <c r="D110" s="74"/>
      <c r="F110" s="18">
        <f t="shared" si="67"/>
        <v>0</v>
      </c>
      <c r="G110" s="19">
        <f t="shared" ref="G110:G114" si="69">J110+M110+P110+S110+V110+Y110+AB110+AF110</f>
        <v>0</v>
      </c>
      <c r="I110" s="3"/>
      <c r="J110" s="10"/>
      <c r="L110" s="3"/>
      <c r="M110" s="10"/>
      <c r="O110" s="3"/>
      <c r="P110" s="10"/>
      <c r="R110" s="3"/>
      <c r="S110" s="10"/>
      <c r="U110" s="3"/>
      <c r="V110" s="10"/>
      <c r="X110" s="3"/>
      <c r="Y110" s="10"/>
      <c r="AA110" s="3"/>
      <c r="AB110" s="10"/>
      <c r="AD110" s="75"/>
      <c r="AE110" s="39">
        <v>0</v>
      </c>
      <c r="AF110" s="40">
        <f t="shared" si="68"/>
        <v>0</v>
      </c>
    </row>
    <row r="111" spans="1:32" outlineLevel="1">
      <c r="A111" s="68" t="str">
        <f>A81</f>
        <v>3.1</v>
      </c>
      <c r="B111" s="4">
        <v>17</v>
      </c>
      <c r="C111" s="74" t="s">
        <v>92</v>
      </c>
      <c r="D111" s="74"/>
      <c r="F111" s="18">
        <f t="shared" si="67"/>
        <v>0</v>
      </c>
      <c r="G111" s="19">
        <f t="shared" si="69"/>
        <v>0</v>
      </c>
      <c r="I111" s="3"/>
      <c r="J111" s="10"/>
      <c r="L111" s="3"/>
      <c r="M111" s="10"/>
      <c r="O111" s="3"/>
      <c r="P111" s="10"/>
      <c r="R111" s="3"/>
      <c r="S111" s="10"/>
      <c r="U111" s="3"/>
      <c r="V111" s="10"/>
      <c r="X111" s="3"/>
      <c r="Y111" s="10"/>
      <c r="AA111" s="3"/>
      <c r="AB111" s="10"/>
      <c r="AD111" s="75"/>
      <c r="AE111" s="39">
        <v>0</v>
      </c>
      <c r="AF111" s="40">
        <f t="shared" si="68"/>
        <v>0</v>
      </c>
    </row>
    <row r="112" spans="1:32" outlineLevel="1">
      <c r="A112" s="68" t="str">
        <f>A81</f>
        <v>3.1</v>
      </c>
      <c r="B112" s="4">
        <v>18</v>
      </c>
      <c r="C112" s="1" t="s">
        <v>93</v>
      </c>
      <c r="D112" s="1"/>
      <c r="F112" s="18">
        <f t="shared" si="67"/>
        <v>0</v>
      </c>
      <c r="G112" s="19">
        <f t="shared" si="69"/>
        <v>0</v>
      </c>
      <c r="I112" s="3"/>
      <c r="J112" s="10"/>
      <c r="L112" s="3"/>
      <c r="M112" s="10"/>
      <c r="O112" s="3"/>
      <c r="P112" s="10"/>
      <c r="R112" s="3"/>
      <c r="S112" s="10"/>
      <c r="U112" s="3"/>
      <c r="V112" s="10"/>
      <c r="X112" s="3"/>
      <c r="Y112" s="10"/>
      <c r="AA112" s="3"/>
      <c r="AB112" s="10"/>
      <c r="AD112" s="75"/>
      <c r="AE112" s="39">
        <v>0</v>
      </c>
      <c r="AF112" s="40">
        <f t="shared" si="68"/>
        <v>0</v>
      </c>
    </row>
    <row r="113" spans="1:32" outlineLevel="1">
      <c r="A113" s="68" t="str">
        <f>A81</f>
        <v>3.1</v>
      </c>
      <c r="B113" s="4">
        <v>19</v>
      </c>
      <c r="F113" s="18">
        <f t="shared" si="67"/>
        <v>0</v>
      </c>
      <c r="G113" s="19">
        <f t="shared" si="69"/>
        <v>0</v>
      </c>
      <c r="I113" s="3"/>
      <c r="J113" s="10"/>
      <c r="L113" s="3"/>
      <c r="M113" s="10"/>
      <c r="O113" s="3"/>
      <c r="P113" s="10"/>
      <c r="R113" s="3"/>
      <c r="S113" s="10"/>
      <c r="U113" s="3"/>
      <c r="V113" s="10"/>
      <c r="X113" s="3"/>
      <c r="Y113" s="10"/>
      <c r="AA113" s="3"/>
      <c r="AB113" s="10"/>
      <c r="AD113" s="75"/>
      <c r="AE113" s="39">
        <v>0</v>
      </c>
      <c r="AF113" s="40">
        <f t="shared" si="68"/>
        <v>0</v>
      </c>
    </row>
    <row r="114" spans="1:32" ht="13.8" outlineLevel="1" thickBot="1">
      <c r="A114" s="68" t="str">
        <f>A81</f>
        <v>3.1</v>
      </c>
      <c r="B114" s="4">
        <v>20</v>
      </c>
      <c r="F114" s="18">
        <f t="shared" si="67"/>
        <v>0</v>
      </c>
      <c r="G114" s="19">
        <f t="shared" si="69"/>
        <v>0</v>
      </c>
      <c r="I114" s="3"/>
      <c r="J114" s="10"/>
      <c r="L114" s="3"/>
      <c r="M114" s="10"/>
      <c r="O114" s="3"/>
      <c r="P114" s="10"/>
      <c r="R114" s="3"/>
      <c r="S114" s="10"/>
      <c r="U114" s="3"/>
      <c r="V114" s="10"/>
      <c r="X114" s="3"/>
      <c r="Y114" s="10"/>
      <c r="AA114" s="3"/>
      <c r="AB114" s="10"/>
      <c r="AD114" s="75"/>
      <c r="AE114" s="39">
        <v>0</v>
      </c>
      <c r="AF114" s="40">
        <f t="shared" si="68"/>
        <v>0</v>
      </c>
    </row>
    <row r="115" spans="1:32" s="61" customFormat="1" ht="14.4" thickTop="1" thickBot="1">
      <c r="A115" s="58" t="s">
        <v>16</v>
      </c>
      <c r="B115" s="59"/>
      <c r="C115" s="60" t="str">
        <f>CONCATENATE("Product Realization - Prototypes (B1 Samples) - ",D2)</f>
        <v>Product Realization - Prototypes (B1 Samples) - PrkzZm</v>
      </c>
      <c r="D115" s="60"/>
      <c r="E115" s="60"/>
      <c r="F115" s="32">
        <f>SUBTOTAL(9,F117:F148)</f>
        <v>0</v>
      </c>
      <c r="G115" s="33">
        <f>SUBTOTAL(9,G117:G148)</f>
        <v>0</v>
      </c>
      <c r="H115" s="59"/>
      <c r="I115" s="59">
        <f>SUBTOTAL(9,I117:I148)</f>
        <v>0</v>
      </c>
      <c r="J115" s="11">
        <f>SUBTOTAL(9,J117:J148)</f>
        <v>0</v>
      </c>
      <c r="K115" s="59"/>
      <c r="L115" s="59">
        <f>SUBTOTAL(9,L117:L148)</f>
        <v>0</v>
      </c>
      <c r="M115" s="11">
        <f>SUBTOTAL(9,M117:M148)</f>
        <v>0</v>
      </c>
      <c r="O115" s="59">
        <f>SUBTOTAL(9,O117:O148)</f>
        <v>0</v>
      </c>
      <c r="P115" s="11">
        <f>SUBTOTAL(9,P117:P148)</f>
        <v>0</v>
      </c>
      <c r="Q115" s="7"/>
      <c r="R115" s="59">
        <f>SUBTOTAL(9,R117:R148)</f>
        <v>0</v>
      </c>
      <c r="S115" s="11">
        <f>SUBTOTAL(9,S117:S148)</f>
        <v>0</v>
      </c>
      <c r="U115" s="59">
        <f>SUBTOTAL(9,U117:U148)</f>
        <v>0</v>
      </c>
      <c r="V115" s="11">
        <f>SUBTOTAL(9,V117:V148)</f>
        <v>0</v>
      </c>
      <c r="X115" s="59">
        <f>SUBTOTAL(9,X117:X148)</f>
        <v>0</v>
      </c>
      <c r="Y115" s="11">
        <f>SUBTOTAL(9,Y117:Y148)</f>
        <v>0</v>
      </c>
      <c r="Z115" s="7"/>
      <c r="AA115" s="59">
        <f>SUBTOTAL(9,AA117:AA148)</f>
        <v>0</v>
      </c>
      <c r="AB115" s="11">
        <f>SUBTOTAL(9,AB117:AB148)</f>
        <v>0</v>
      </c>
      <c r="AD115" s="62"/>
      <c r="AE115" s="38"/>
      <c r="AF115" s="33">
        <f>SUBTOTAL(9,AF117:AF148)</f>
        <v>0</v>
      </c>
    </row>
    <row r="116" spans="1:32" s="66" customFormat="1" ht="13.8" thickTop="1">
      <c r="A116" s="63" t="str">
        <f>A115</f>
        <v>3.2</v>
      </c>
      <c r="B116" s="64"/>
      <c r="C116" s="65" t="s">
        <v>24</v>
      </c>
      <c r="D116" s="65"/>
      <c r="E116" s="65"/>
      <c r="F116" s="64">
        <f>SUBTOTAL(9,F117:F141)</f>
        <v>0</v>
      </c>
      <c r="G116" s="22">
        <f>SUBTOTAL(9,G117:G141)</f>
        <v>0</v>
      </c>
      <c r="H116" s="64"/>
      <c r="I116" s="64">
        <f>SUBTOTAL(9,I117:I141)</f>
        <v>0</v>
      </c>
      <c r="J116" s="22">
        <f>SUBTOTAL(9,J117:J141)</f>
        <v>0</v>
      </c>
      <c r="K116" s="64"/>
      <c r="L116" s="64">
        <f>SUBTOTAL(9,L117:L141)</f>
        <v>0</v>
      </c>
      <c r="M116" s="22">
        <f>SUBTOTAL(9,M117:M141)</f>
        <v>0</v>
      </c>
      <c r="O116" s="64">
        <f>SUBTOTAL(9,O117:O141)</f>
        <v>0</v>
      </c>
      <c r="P116" s="22">
        <f>SUBTOTAL(9,P117:P141)</f>
        <v>0</v>
      </c>
      <c r="Q116" s="21"/>
      <c r="R116" s="64">
        <f>SUBTOTAL(9,R117:R141)</f>
        <v>0</v>
      </c>
      <c r="S116" s="22">
        <f>SUBTOTAL(9,S117:S141)</f>
        <v>0</v>
      </c>
      <c r="U116" s="64">
        <f>SUBTOTAL(9,U117:U141)</f>
        <v>0</v>
      </c>
      <c r="V116" s="22">
        <f>SUBTOTAL(9,V117:V141)</f>
        <v>0</v>
      </c>
      <c r="X116" s="64">
        <f>SUBTOTAL(9,X117:X141)</f>
        <v>0</v>
      </c>
      <c r="Y116" s="22">
        <f>SUBTOTAL(9,Y117:Y141)</f>
        <v>0</v>
      </c>
      <c r="Z116" s="21"/>
      <c r="AA116" s="64">
        <f>SUBTOTAL(9,AA117:AA141)</f>
        <v>0</v>
      </c>
      <c r="AB116" s="22">
        <f>SUBTOTAL(9,AB117:AB141)</f>
        <v>0</v>
      </c>
      <c r="AD116" s="67"/>
      <c r="AE116" s="28"/>
      <c r="AF116" s="27"/>
    </row>
    <row r="117" spans="1:32" s="71" customFormat="1" outlineLevel="1">
      <c r="A117" s="68" t="str">
        <f t="shared" ref="A117:A141" si="70">A115</f>
        <v>3.2</v>
      </c>
      <c r="B117" s="69">
        <v>1</v>
      </c>
      <c r="C117" s="74" t="s">
        <v>94</v>
      </c>
      <c r="D117" s="74"/>
      <c r="E117" s="70"/>
      <c r="F117" s="18">
        <f>I117+L117+O117+R117+U117+X117+AA117</f>
        <v>0</v>
      </c>
      <c r="G117" s="19">
        <f>J117+M117+P117+S117+V117+Y117+AB117+AF117</f>
        <v>0</v>
      </c>
      <c r="I117" s="23"/>
      <c r="J117" s="24">
        <f t="shared" ref="J117:J141" si="71">I117*J$2</f>
        <v>0</v>
      </c>
      <c r="L117" s="23"/>
      <c r="M117" s="24">
        <f>L117*M$2</f>
        <v>0</v>
      </c>
      <c r="N117" s="72"/>
      <c r="O117" s="23"/>
      <c r="P117" s="24">
        <f>O117*P$2</f>
        <v>0</v>
      </c>
      <c r="Q117" s="25"/>
      <c r="R117" s="23"/>
      <c r="S117" s="24">
        <f>R117*S$2</f>
        <v>0</v>
      </c>
      <c r="T117" s="72"/>
      <c r="U117" s="23"/>
      <c r="V117" s="24">
        <f>U117*V$2</f>
        <v>0</v>
      </c>
      <c r="W117" s="72"/>
      <c r="X117" s="23"/>
      <c r="Y117" s="24">
        <f>X117*Y$2</f>
        <v>0</v>
      </c>
      <c r="Z117" s="25"/>
      <c r="AA117" s="23"/>
      <c r="AB117" s="24">
        <f>AA117*AB$2</f>
        <v>0</v>
      </c>
      <c r="AD117" s="73"/>
      <c r="AE117" s="29"/>
      <c r="AF117" s="26"/>
    </row>
    <row r="118" spans="1:32" s="71" customFormat="1" outlineLevel="1">
      <c r="A118" s="68" t="str">
        <f t="shared" ref="A118:A123" si="72">A115</f>
        <v>3.2</v>
      </c>
      <c r="B118" s="69">
        <v>2</v>
      </c>
      <c r="C118" s="74" t="s">
        <v>70</v>
      </c>
      <c r="D118" s="74"/>
      <c r="E118" s="70"/>
      <c r="F118" s="18">
        <f>I118+L118+O118+R118+U118+X118+AA118</f>
        <v>0</v>
      </c>
      <c r="G118" s="19">
        <f t="shared" ref="G118:G141" si="73">J118+M118+P118+S118+V118+Y118+AB118+AF118</f>
        <v>0</v>
      </c>
      <c r="I118" s="23"/>
      <c r="J118" s="24">
        <f t="shared" si="71"/>
        <v>0</v>
      </c>
      <c r="L118" s="23"/>
      <c r="M118" s="24">
        <f>L118*M$2</f>
        <v>0</v>
      </c>
      <c r="N118" s="72"/>
      <c r="O118" s="23"/>
      <c r="P118" s="24">
        <f t="shared" ref="P118:P141" si="74">O118*P$2</f>
        <v>0</v>
      </c>
      <c r="Q118" s="25"/>
      <c r="R118" s="23"/>
      <c r="S118" s="24">
        <f t="shared" ref="S118:S141" si="75">R118*S$2</f>
        <v>0</v>
      </c>
      <c r="T118" s="72"/>
      <c r="U118" s="23"/>
      <c r="V118" s="24">
        <f t="shared" ref="V118:V141" si="76">U118*V$2</f>
        <v>0</v>
      </c>
      <c r="W118" s="72"/>
      <c r="X118" s="23"/>
      <c r="Y118" s="24">
        <f t="shared" ref="Y118:Y141" si="77">X118*Y$2</f>
        <v>0</v>
      </c>
      <c r="Z118" s="25"/>
      <c r="AA118" s="23"/>
      <c r="AB118" s="24">
        <f t="shared" ref="AB118:AB141" si="78">AA118*AB$2</f>
        <v>0</v>
      </c>
      <c r="AD118" s="73"/>
      <c r="AE118" s="29"/>
      <c r="AF118" s="26"/>
    </row>
    <row r="119" spans="1:32" s="71" customFormat="1" outlineLevel="1">
      <c r="A119" s="68" t="str">
        <f t="shared" si="72"/>
        <v>3.2</v>
      </c>
      <c r="B119" s="69">
        <v>3</v>
      </c>
      <c r="C119" s="71" t="s">
        <v>71</v>
      </c>
      <c r="E119" s="70"/>
      <c r="F119" s="18">
        <f>I119+L119+O119+R119+U119+X119+AA119</f>
        <v>0</v>
      </c>
      <c r="G119" s="19">
        <f t="shared" si="73"/>
        <v>0</v>
      </c>
      <c r="I119" s="23"/>
      <c r="J119" s="24">
        <f t="shared" si="71"/>
        <v>0</v>
      </c>
      <c r="L119" s="23"/>
      <c r="M119" s="24">
        <f>L119*M$2</f>
        <v>0</v>
      </c>
      <c r="N119" s="72"/>
      <c r="O119" s="23"/>
      <c r="P119" s="24">
        <f t="shared" si="74"/>
        <v>0</v>
      </c>
      <c r="Q119" s="25"/>
      <c r="R119" s="23"/>
      <c r="S119" s="24">
        <f t="shared" si="75"/>
        <v>0</v>
      </c>
      <c r="T119" s="72"/>
      <c r="U119" s="23"/>
      <c r="V119" s="24">
        <f t="shared" si="76"/>
        <v>0</v>
      </c>
      <c r="W119" s="72"/>
      <c r="X119" s="23"/>
      <c r="Y119" s="24">
        <f t="shared" si="77"/>
        <v>0</v>
      </c>
      <c r="Z119" s="25"/>
      <c r="AA119" s="23"/>
      <c r="AB119" s="24">
        <f t="shared" si="78"/>
        <v>0</v>
      </c>
      <c r="AD119" s="73"/>
      <c r="AE119" s="29"/>
      <c r="AF119" s="26"/>
    </row>
    <row r="120" spans="1:32" s="71" customFormat="1" outlineLevel="1">
      <c r="A120" s="68" t="str">
        <f t="shared" si="72"/>
        <v>3.2</v>
      </c>
      <c r="B120" s="69">
        <v>4</v>
      </c>
      <c r="C120" s="74" t="s">
        <v>95</v>
      </c>
      <c r="D120" s="74"/>
      <c r="E120" s="70"/>
      <c r="F120" s="18">
        <f t="shared" ref="F120:F141" si="79">I120+L120+O120+R120+U120+X120+AA120</f>
        <v>0</v>
      </c>
      <c r="G120" s="19">
        <f t="shared" si="73"/>
        <v>0</v>
      </c>
      <c r="I120" s="23"/>
      <c r="J120" s="24">
        <f t="shared" si="71"/>
        <v>0</v>
      </c>
      <c r="L120" s="23"/>
      <c r="M120" s="24">
        <f t="shared" ref="M120:M141" si="80">L120*M$2</f>
        <v>0</v>
      </c>
      <c r="N120" s="72"/>
      <c r="O120" s="23"/>
      <c r="P120" s="24">
        <f t="shared" si="74"/>
        <v>0</v>
      </c>
      <c r="Q120" s="25"/>
      <c r="R120" s="23"/>
      <c r="S120" s="24">
        <f t="shared" si="75"/>
        <v>0</v>
      </c>
      <c r="T120" s="72"/>
      <c r="U120" s="23"/>
      <c r="V120" s="24">
        <f t="shared" si="76"/>
        <v>0</v>
      </c>
      <c r="W120" s="72"/>
      <c r="X120" s="23"/>
      <c r="Y120" s="24">
        <f t="shared" si="77"/>
        <v>0</v>
      </c>
      <c r="Z120" s="25"/>
      <c r="AA120" s="23"/>
      <c r="AB120" s="24">
        <f t="shared" si="78"/>
        <v>0</v>
      </c>
      <c r="AD120" s="73"/>
      <c r="AE120" s="29"/>
      <c r="AF120" s="26"/>
    </row>
    <row r="121" spans="1:32" s="71" customFormat="1" outlineLevel="1">
      <c r="A121" s="68" t="str">
        <f t="shared" si="72"/>
        <v>3.2</v>
      </c>
      <c r="B121" s="69">
        <v>5</v>
      </c>
      <c r="C121" s="74" t="s">
        <v>73</v>
      </c>
      <c r="D121" s="74"/>
      <c r="E121" s="70"/>
      <c r="F121" s="18">
        <f t="shared" si="79"/>
        <v>0</v>
      </c>
      <c r="G121" s="19">
        <f t="shared" si="73"/>
        <v>0</v>
      </c>
      <c r="I121" s="23"/>
      <c r="J121" s="24">
        <f t="shared" si="71"/>
        <v>0</v>
      </c>
      <c r="L121" s="23"/>
      <c r="M121" s="24">
        <f t="shared" si="80"/>
        <v>0</v>
      </c>
      <c r="N121" s="72"/>
      <c r="O121" s="23"/>
      <c r="P121" s="24">
        <f t="shared" si="74"/>
        <v>0</v>
      </c>
      <c r="Q121" s="25"/>
      <c r="R121" s="23"/>
      <c r="S121" s="24">
        <f t="shared" si="75"/>
        <v>0</v>
      </c>
      <c r="T121" s="72"/>
      <c r="U121" s="23"/>
      <c r="V121" s="24">
        <f t="shared" si="76"/>
        <v>0</v>
      </c>
      <c r="W121" s="72"/>
      <c r="X121" s="23"/>
      <c r="Y121" s="24">
        <f t="shared" si="77"/>
        <v>0</v>
      </c>
      <c r="Z121" s="25"/>
      <c r="AA121" s="23"/>
      <c r="AB121" s="24">
        <f t="shared" si="78"/>
        <v>0</v>
      </c>
      <c r="AD121" s="73"/>
      <c r="AE121" s="29"/>
      <c r="AF121" s="26"/>
    </row>
    <row r="122" spans="1:32" s="71" customFormat="1" outlineLevel="1">
      <c r="A122" s="68" t="str">
        <f t="shared" si="72"/>
        <v>3.2</v>
      </c>
      <c r="B122" s="69">
        <v>6</v>
      </c>
      <c r="C122" s="74" t="s">
        <v>96</v>
      </c>
      <c r="D122" s="74"/>
      <c r="E122" s="70"/>
      <c r="F122" s="18">
        <f t="shared" si="79"/>
        <v>0</v>
      </c>
      <c r="G122" s="19">
        <f t="shared" si="73"/>
        <v>0</v>
      </c>
      <c r="I122" s="23"/>
      <c r="J122" s="24">
        <f t="shared" si="71"/>
        <v>0</v>
      </c>
      <c r="L122" s="23"/>
      <c r="M122" s="24">
        <f t="shared" si="80"/>
        <v>0</v>
      </c>
      <c r="N122" s="72"/>
      <c r="O122" s="23"/>
      <c r="P122" s="24">
        <f t="shared" si="74"/>
        <v>0</v>
      </c>
      <c r="Q122" s="25"/>
      <c r="R122" s="23"/>
      <c r="S122" s="24">
        <f t="shared" si="75"/>
        <v>0</v>
      </c>
      <c r="T122" s="72"/>
      <c r="U122" s="23"/>
      <c r="V122" s="24">
        <f t="shared" si="76"/>
        <v>0</v>
      </c>
      <c r="W122" s="72"/>
      <c r="X122" s="23"/>
      <c r="Y122" s="24">
        <f t="shared" si="77"/>
        <v>0</v>
      </c>
      <c r="Z122" s="25"/>
      <c r="AA122" s="23"/>
      <c r="AB122" s="24">
        <f t="shared" si="78"/>
        <v>0</v>
      </c>
      <c r="AD122" s="73"/>
      <c r="AE122" s="29"/>
      <c r="AF122" s="26"/>
    </row>
    <row r="123" spans="1:32" s="71" customFormat="1" outlineLevel="1">
      <c r="A123" s="68" t="str">
        <f t="shared" si="72"/>
        <v>3.2</v>
      </c>
      <c r="B123" s="69">
        <v>7</v>
      </c>
      <c r="C123" s="71" t="s">
        <v>97</v>
      </c>
      <c r="E123" s="70"/>
      <c r="F123" s="18">
        <f t="shared" si="79"/>
        <v>0</v>
      </c>
      <c r="G123" s="19">
        <f t="shared" si="73"/>
        <v>0</v>
      </c>
      <c r="I123" s="23"/>
      <c r="J123" s="24">
        <f t="shared" si="71"/>
        <v>0</v>
      </c>
      <c r="L123" s="23"/>
      <c r="M123" s="24">
        <f t="shared" si="80"/>
        <v>0</v>
      </c>
      <c r="N123" s="72"/>
      <c r="O123" s="23"/>
      <c r="P123" s="24">
        <f t="shared" si="74"/>
        <v>0</v>
      </c>
      <c r="Q123" s="25"/>
      <c r="R123" s="23"/>
      <c r="S123" s="24">
        <f t="shared" si="75"/>
        <v>0</v>
      </c>
      <c r="T123" s="72"/>
      <c r="U123" s="23"/>
      <c r="V123" s="24">
        <f t="shared" si="76"/>
        <v>0</v>
      </c>
      <c r="W123" s="72"/>
      <c r="X123" s="23"/>
      <c r="Y123" s="24">
        <f t="shared" si="77"/>
        <v>0</v>
      </c>
      <c r="Z123" s="25"/>
      <c r="AA123" s="23"/>
      <c r="AB123" s="24">
        <f t="shared" si="78"/>
        <v>0</v>
      </c>
      <c r="AD123" s="73"/>
      <c r="AE123" s="29"/>
      <c r="AF123" s="26"/>
    </row>
    <row r="124" spans="1:32" s="71" customFormat="1" outlineLevel="1">
      <c r="A124" s="68" t="str">
        <f t="shared" si="70"/>
        <v>3.2</v>
      </c>
      <c r="B124" s="69">
        <v>8</v>
      </c>
      <c r="C124" s="71" t="s">
        <v>76</v>
      </c>
      <c r="E124" s="70"/>
      <c r="F124" s="18">
        <f t="shared" si="79"/>
        <v>0</v>
      </c>
      <c r="G124" s="19">
        <f t="shared" si="73"/>
        <v>0</v>
      </c>
      <c r="I124" s="23"/>
      <c r="J124" s="24">
        <f t="shared" si="71"/>
        <v>0</v>
      </c>
      <c r="L124" s="23"/>
      <c r="M124" s="24">
        <f t="shared" si="80"/>
        <v>0</v>
      </c>
      <c r="N124" s="72"/>
      <c r="O124" s="23"/>
      <c r="P124" s="24">
        <f t="shared" si="74"/>
        <v>0</v>
      </c>
      <c r="Q124" s="25"/>
      <c r="R124" s="23"/>
      <c r="S124" s="24">
        <f t="shared" si="75"/>
        <v>0</v>
      </c>
      <c r="T124" s="72"/>
      <c r="U124" s="23"/>
      <c r="V124" s="24">
        <f t="shared" si="76"/>
        <v>0</v>
      </c>
      <c r="W124" s="72"/>
      <c r="X124" s="23"/>
      <c r="Y124" s="24">
        <f t="shared" si="77"/>
        <v>0</v>
      </c>
      <c r="Z124" s="25"/>
      <c r="AA124" s="23"/>
      <c r="AB124" s="24">
        <f t="shared" si="78"/>
        <v>0</v>
      </c>
      <c r="AD124" s="73"/>
      <c r="AE124" s="29"/>
      <c r="AF124" s="26"/>
    </row>
    <row r="125" spans="1:32" s="71" customFormat="1" outlineLevel="1">
      <c r="A125" s="68" t="str">
        <f t="shared" si="70"/>
        <v>3.2</v>
      </c>
      <c r="B125" s="69">
        <v>9</v>
      </c>
      <c r="C125" s="71" t="s">
        <v>77</v>
      </c>
      <c r="E125" s="70"/>
      <c r="F125" s="18">
        <f t="shared" si="79"/>
        <v>0</v>
      </c>
      <c r="G125" s="19">
        <f t="shared" si="73"/>
        <v>0</v>
      </c>
      <c r="I125" s="23"/>
      <c r="J125" s="24">
        <f t="shared" si="71"/>
        <v>0</v>
      </c>
      <c r="L125" s="23"/>
      <c r="M125" s="24">
        <f t="shared" si="80"/>
        <v>0</v>
      </c>
      <c r="N125" s="72"/>
      <c r="O125" s="23"/>
      <c r="P125" s="24">
        <f t="shared" si="74"/>
        <v>0</v>
      </c>
      <c r="Q125" s="25"/>
      <c r="R125" s="23"/>
      <c r="S125" s="24">
        <f t="shared" si="75"/>
        <v>0</v>
      </c>
      <c r="T125" s="72"/>
      <c r="U125" s="23"/>
      <c r="V125" s="24">
        <f t="shared" si="76"/>
        <v>0</v>
      </c>
      <c r="W125" s="72"/>
      <c r="X125" s="23"/>
      <c r="Y125" s="24">
        <f t="shared" si="77"/>
        <v>0</v>
      </c>
      <c r="Z125" s="25"/>
      <c r="AA125" s="23"/>
      <c r="AB125" s="24">
        <f t="shared" si="78"/>
        <v>0</v>
      </c>
      <c r="AD125" s="73"/>
      <c r="AE125" s="29"/>
      <c r="AF125" s="26"/>
    </row>
    <row r="126" spans="1:32" s="71" customFormat="1" outlineLevel="1">
      <c r="A126" s="68" t="str">
        <f t="shared" si="70"/>
        <v>3.2</v>
      </c>
      <c r="B126" s="69">
        <v>10</v>
      </c>
      <c r="C126" s="74" t="s">
        <v>98</v>
      </c>
      <c r="D126" s="74"/>
      <c r="E126" s="70"/>
      <c r="F126" s="18">
        <f t="shared" si="79"/>
        <v>0</v>
      </c>
      <c r="G126" s="19">
        <f t="shared" si="73"/>
        <v>0</v>
      </c>
      <c r="I126" s="23"/>
      <c r="J126" s="24">
        <f t="shared" si="71"/>
        <v>0</v>
      </c>
      <c r="L126" s="23"/>
      <c r="M126" s="24">
        <f t="shared" si="80"/>
        <v>0</v>
      </c>
      <c r="N126" s="72"/>
      <c r="O126" s="23"/>
      <c r="P126" s="24">
        <f t="shared" si="74"/>
        <v>0</v>
      </c>
      <c r="Q126" s="25"/>
      <c r="R126" s="23"/>
      <c r="S126" s="24">
        <f t="shared" si="75"/>
        <v>0</v>
      </c>
      <c r="T126" s="72"/>
      <c r="U126" s="23"/>
      <c r="V126" s="24">
        <f t="shared" si="76"/>
        <v>0</v>
      </c>
      <c r="W126" s="72"/>
      <c r="X126" s="23"/>
      <c r="Y126" s="24">
        <f t="shared" si="77"/>
        <v>0</v>
      </c>
      <c r="Z126" s="25"/>
      <c r="AA126" s="23"/>
      <c r="AB126" s="24">
        <f t="shared" si="78"/>
        <v>0</v>
      </c>
      <c r="AD126" s="73"/>
      <c r="AE126" s="29"/>
      <c r="AF126" s="26"/>
    </row>
    <row r="127" spans="1:32" s="71" customFormat="1" ht="26.4" outlineLevel="1">
      <c r="A127" s="68" t="str">
        <f t="shared" si="70"/>
        <v>3.2</v>
      </c>
      <c r="B127" s="82">
        <v>11</v>
      </c>
      <c r="C127" s="83" t="s">
        <v>99</v>
      </c>
      <c r="D127" s="83"/>
      <c r="E127" s="70"/>
      <c r="F127" s="18">
        <f t="shared" si="79"/>
        <v>0</v>
      </c>
      <c r="G127" s="19">
        <f t="shared" si="73"/>
        <v>0</v>
      </c>
      <c r="I127" s="23"/>
      <c r="J127" s="24">
        <f t="shared" si="71"/>
        <v>0</v>
      </c>
      <c r="L127" s="23"/>
      <c r="M127" s="24">
        <f t="shared" si="80"/>
        <v>0</v>
      </c>
      <c r="N127" s="72"/>
      <c r="O127" s="23"/>
      <c r="P127" s="24">
        <f t="shared" si="74"/>
        <v>0</v>
      </c>
      <c r="Q127" s="25"/>
      <c r="R127" s="23"/>
      <c r="S127" s="24">
        <f t="shared" si="75"/>
        <v>0</v>
      </c>
      <c r="T127" s="72"/>
      <c r="U127" s="23"/>
      <c r="V127" s="24">
        <f t="shared" si="76"/>
        <v>0</v>
      </c>
      <c r="W127" s="72"/>
      <c r="X127" s="23"/>
      <c r="Y127" s="24">
        <f t="shared" si="77"/>
        <v>0</v>
      </c>
      <c r="Z127" s="25"/>
      <c r="AA127" s="23"/>
      <c r="AB127" s="24">
        <f t="shared" si="78"/>
        <v>0</v>
      </c>
      <c r="AD127" s="73"/>
      <c r="AE127" s="29"/>
      <c r="AF127" s="26"/>
    </row>
    <row r="128" spans="1:32" s="71" customFormat="1" outlineLevel="1">
      <c r="A128" s="68" t="str">
        <f t="shared" si="70"/>
        <v>3.2</v>
      </c>
      <c r="B128" s="69">
        <v>12</v>
      </c>
      <c r="C128" s="70" t="s">
        <v>100</v>
      </c>
      <c r="D128" s="70"/>
      <c r="E128" s="70"/>
      <c r="F128" s="18">
        <f t="shared" si="79"/>
        <v>0</v>
      </c>
      <c r="G128" s="19">
        <f t="shared" si="73"/>
        <v>0</v>
      </c>
      <c r="I128" s="23"/>
      <c r="J128" s="24">
        <f t="shared" si="71"/>
        <v>0</v>
      </c>
      <c r="L128" s="23"/>
      <c r="M128" s="24">
        <f t="shared" si="80"/>
        <v>0</v>
      </c>
      <c r="N128" s="72"/>
      <c r="O128" s="23"/>
      <c r="P128" s="24">
        <f t="shared" si="74"/>
        <v>0</v>
      </c>
      <c r="Q128" s="25"/>
      <c r="R128" s="23"/>
      <c r="S128" s="24">
        <f t="shared" si="75"/>
        <v>0</v>
      </c>
      <c r="T128" s="72"/>
      <c r="U128" s="23"/>
      <c r="V128" s="24">
        <f t="shared" si="76"/>
        <v>0</v>
      </c>
      <c r="W128" s="72"/>
      <c r="X128" s="23"/>
      <c r="Y128" s="24">
        <f t="shared" si="77"/>
        <v>0</v>
      </c>
      <c r="Z128" s="25"/>
      <c r="AA128" s="23"/>
      <c r="AB128" s="24">
        <f t="shared" si="78"/>
        <v>0</v>
      </c>
      <c r="AD128" s="73"/>
      <c r="AE128" s="29"/>
      <c r="AF128" s="26"/>
    </row>
    <row r="129" spans="1:32" s="71" customFormat="1" outlineLevel="1">
      <c r="A129" s="68" t="str">
        <f t="shared" si="70"/>
        <v>3.2</v>
      </c>
      <c r="B129" s="69">
        <v>13</v>
      </c>
      <c r="C129" s="71" t="s">
        <v>101</v>
      </c>
      <c r="E129" s="70"/>
      <c r="F129" s="18">
        <f t="shared" si="79"/>
        <v>0</v>
      </c>
      <c r="G129" s="19">
        <f t="shared" si="73"/>
        <v>0</v>
      </c>
      <c r="I129" s="23"/>
      <c r="J129" s="24">
        <f t="shared" si="71"/>
        <v>0</v>
      </c>
      <c r="L129" s="23"/>
      <c r="M129" s="24">
        <f t="shared" si="80"/>
        <v>0</v>
      </c>
      <c r="N129" s="72"/>
      <c r="O129" s="23"/>
      <c r="P129" s="24">
        <f t="shared" si="74"/>
        <v>0</v>
      </c>
      <c r="Q129" s="25"/>
      <c r="R129" s="23"/>
      <c r="S129" s="24">
        <f t="shared" si="75"/>
        <v>0</v>
      </c>
      <c r="T129" s="72"/>
      <c r="U129" s="23"/>
      <c r="V129" s="24">
        <f t="shared" si="76"/>
        <v>0</v>
      </c>
      <c r="W129" s="72"/>
      <c r="X129" s="23"/>
      <c r="Y129" s="24">
        <f t="shared" si="77"/>
        <v>0</v>
      </c>
      <c r="Z129" s="25"/>
      <c r="AA129" s="23"/>
      <c r="AB129" s="24">
        <f t="shared" si="78"/>
        <v>0</v>
      </c>
      <c r="AD129" s="73"/>
      <c r="AE129" s="29"/>
      <c r="AF129" s="26"/>
    </row>
    <row r="130" spans="1:32" s="71" customFormat="1" outlineLevel="1">
      <c r="A130" s="68" t="str">
        <f t="shared" si="70"/>
        <v>3.2</v>
      </c>
      <c r="B130" s="69">
        <v>14</v>
      </c>
      <c r="C130" s="71" t="s">
        <v>102</v>
      </c>
      <c r="E130" s="70"/>
      <c r="F130" s="18">
        <f t="shared" si="79"/>
        <v>0</v>
      </c>
      <c r="G130" s="19">
        <f t="shared" si="73"/>
        <v>0</v>
      </c>
      <c r="I130" s="23"/>
      <c r="J130" s="24">
        <f t="shared" si="71"/>
        <v>0</v>
      </c>
      <c r="L130" s="23"/>
      <c r="M130" s="24">
        <f t="shared" si="80"/>
        <v>0</v>
      </c>
      <c r="N130" s="72"/>
      <c r="O130" s="23"/>
      <c r="P130" s="24">
        <f t="shared" si="74"/>
        <v>0</v>
      </c>
      <c r="Q130" s="25"/>
      <c r="R130" s="23"/>
      <c r="S130" s="24">
        <f t="shared" si="75"/>
        <v>0</v>
      </c>
      <c r="T130" s="72"/>
      <c r="U130" s="23"/>
      <c r="V130" s="24">
        <f t="shared" si="76"/>
        <v>0</v>
      </c>
      <c r="W130" s="72"/>
      <c r="X130" s="23"/>
      <c r="Y130" s="24">
        <f t="shared" si="77"/>
        <v>0</v>
      </c>
      <c r="Z130" s="25"/>
      <c r="AA130" s="23"/>
      <c r="AB130" s="24">
        <f t="shared" si="78"/>
        <v>0</v>
      </c>
      <c r="AD130" s="73"/>
      <c r="AE130" s="29"/>
      <c r="AF130" s="26"/>
    </row>
    <row r="131" spans="1:32" s="71" customFormat="1" outlineLevel="1">
      <c r="A131" s="68" t="str">
        <f t="shared" si="70"/>
        <v>3.2</v>
      </c>
      <c r="B131" s="69">
        <v>15</v>
      </c>
      <c r="C131" s="71" t="s">
        <v>103</v>
      </c>
      <c r="E131" s="70"/>
      <c r="F131" s="18">
        <f t="shared" si="79"/>
        <v>0</v>
      </c>
      <c r="G131" s="19">
        <f t="shared" si="73"/>
        <v>0</v>
      </c>
      <c r="I131" s="23"/>
      <c r="J131" s="24">
        <f t="shared" si="71"/>
        <v>0</v>
      </c>
      <c r="L131" s="23"/>
      <c r="M131" s="24">
        <f t="shared" si="80"/>
        <v>0</v>
      </c>
      <c r="N131" s="72"/>
      <c r="O131" s="23"/>
      <c r="P131" s="24">
        <f t="shared" si="74"/>
        <v>0</v>
      </c>
      <c r="Q131" s="25"/>
      <c r="R131" s="23"/>
      <c r="S131" s="24">
        <f t="shared" si="75"/>
        <v>0</v>
      </c>
      <c r="T131" s="72"/>
      <c r="U131" s="23"/>
      <c r="V131" s="24">
        <f t="shared" si="76"/>
        <v>0</v>
      </c>
      <c r="W131" s="72"/>
      <c r="X131" s="23"/>
      <c r="Y131" s="24">
        <f t="shared" si="77"/>
        <v>0</v>
      </c>
      <c r="Z131" s="25"/>
      <c r="AA131" s="23"/>
      <c r="AB131" s="24">
        <f t="shared" si="78"/>
        <v>0</v>
      </c>
      <c r="AD131" s="73"/>
      <c r="AE131" s="29"/>
      <c r="AF131" s="26"/>
    </row>
    <row r="132" spans="1:32" s="71" customFormat="1" outlineLevel="1">
      <c r="A132" s="68" t="str">
        <f t="shared" si="70"/>
        <v>3.2</v>
      </c>
      <c r="B132" s="69">
        <v>16</v>
      </c>
      <c r="C132" s="71" t="s">
        <v>87</v>
      </c>
      <c r="E132" s="70"/>
      <c r="F132" s="18">
        <f t="shared" si="79"/>
        <v>0</v>
      </c>
      <c r="G132" s="19">
        <f t="shared" si="73"/>
        <v>0</v>
      </c>
      <c r="I132" s="23"/>
      <c r="J132" s="24">
        <f t="shared" si="71"/>
        <v>0</v>
      </c>
      <c r="L132" s="23"/>
      <c r="M132" s="24">
        <f t="shared" si="80"/>
        <v>0</v>
      </c>
      <c r="N132" s="72"/>
      <c r="O132" s="23"/>
      <c r="P132" s="24">
        <f t="shared" si="74"/>
        <v>0</v>
      </c>
      <c r="Q132" s="25"/>
      <c r="R132" s="23"/>
      <c r="S132" s="24">
        <f t="shared" si="75"/>
        <v>0</v>
      </c>
      <c r="T132" s="72"/>
      <c r="U132" s="23"/>
      <c r="V132" s="24">
        <f t="shared" si="76"/>
        <v>0</v>
      </c>
      <c r="W132" s="72"/>
      <c r="X132" s="23"/>
      <c r="Y132" s="24">
        <f t="shared" si="77"/>
        <v>0</v>
      </c>
      <c r="Z132" s="25"/>
      <c r="AA132" s="23"/>
      <c r="AB132" s="24">
        <f t="shared" si="78"/>
        <v>0</v>
      </c>
      <c r="AD132" s="73"/>
      <c r="AE132" s="29"/>
      <c r="AF132" s="26"/>
    </row>
    <row r="133" spans="1:32" s="71" customFormat="1" outlineLevel="1">
      <c r="A133" s="68" t="str">
        <f t="shared" si="70"/>
        <v>3.2</v>
      </c>
      <c r="B133" s="69">
        <v>17</v>
      </c>
      <c r="C133" s="71" t="s">
        <v>104</v>
      </c>
      <c r="E133" s="70"/>
      <c r="F133" s="18">
        <f t="shared" si="79"/>
        <v>0</v>
      </c>
      <c r="G133" s="19">
        <f t="shared" si="73"/>
        <v>0</v>
      </c>
      <c r="I133" s="23"/>
      <c r="J133" s="24">
        <f t="shared" si="71"/>
        <v>0</v>
      </c>
      <c r="L133" s="23"/>
      <c r="M133" s="24">
        <f t="shared" si="80"/>
        <v>0</v>
      </c>
      <c r="N133" s="72"/>
      <c r="O133" s="23"/>
      <c r="P133" s="24">
        <f t="shared" si="74"/>
        <v>0</v>
      </c>
      <c r="Q133" s="25"/>
      <c r="R133" s="23"/>
      <c r="S133" s="24">
        <f t="shared" si="75"/>
        <v>0</v>
      </c>
      <c r="T133" s="72"/>
      <c r="U133" s="23"/>
      <c r="V133" s="24">
        <f t="shared" si="76"/>
        <v>0</v>
      </c>
      <c r="W133" s="72"/>
      <c r="X133" s="23"/>
      <c r="Y133" s="24">
        <f t="shared" si="77"/>
        <v>0</v>
      </c>
      <c r="Z133" s="25"/>
      <c r="AA133" s="23"/>
      <c r="AB133" s="24">
        <f t="shared" si="78"/>
        <v>0</v>
      </c>
      <c r="AD133" s="73"/>
      <c r="AE133" s="29"/>
      <c r="AF133" s="26"/>
    </row>
    <row r="134" spans="1:32" s="71" customFormat="1" outlineLevel="1">
      <c r="A134" s="68" t="str">
        <f t="shared" si="70"/>
        <v>3.2</v>
      </c>
      <c r="B134" s="69">
        <v>18</v>
      </c>
      <c r="C134" s="70" t="s">
        <v>53</v>
      </c>
      <c r="D134" s="70"/>
      <c r="E134" s="70"/>
      <c r="F134" s="18">
        <f t="shared" si="79"/>
        <v>0</v>
      </c>
      <c r="G134" s="19">
        <f t="shared" si="73"/>
        <v>0</v>
      </c>
      <c r="I134" s="23"/>
      <c r="J134" s="24">
        <f t="shared" si="71"/>
        <v>0</v>
      </c>
      <c r="L134" s="23"/>
      <c r="M134" s="24">
        <f t="shared" si="80"/>
        <v>0</v>
      </c>
      <c r="N134" s="72"/>
      <c r="O134" s="23"/>
      <c r="P134" s="24">
        <f t="shared" si="74"/>
        <v>0</v>
      </c>
      <c r="Q134" s="25"/>
      <c r="R134" s="23"/>
      <c r="S134" s="24">
        <f t="shared" si="75"/>
        <v>0</v>
      </c>
      <c r="T134" s="72"/>
      <c r="U134" s="23"/>
      <c r="V134" s="24">
        <f t="shared" si="76"/>
        <v>0</v>
      </c>
      <c r="W134" s="72"/>
      <c r="X134" s="23"/>
      <c r="Y134" s="24">
        <f t="shared" si="77"/>
        <v>0</v>
      </c>
      <c r="Z134" s="25"/>
      <c r="AA134" s="23"/>
      <c r="AB134" s="24">
        <f t="shared" si="78"/>
        <v>0</v>
      </c>
      <c r="AD134" s="73"/>
      <c r="AE134" s="29"/>
      <c r="AF134" s="26"/>
    </row>
    <row r="135" spans="1:32" s="71" customFormat="1" outlineLevel="1">
      <c r="A135" s="68" t="str">
        <f t="shared" si="70"/>
        <v>3.2</v>
      </c>
      <c r="B135" s="69">
        <v>19</v>
      </c>
      <c r="C135" s="74" t="s">
        <v>89</v>
      </c>
      <c r="D135" s="74"/>
      <c r="E135" s="70"/>
      <c r="F135" s="18">
        <f t="shared" si="79"/>
        <v>0</v>
      </c>
      <c r="G135" s="19">
        <f t="shared" si="73"/>
        <v>0</v>
      </c>
      <c r="I135" s="23"/>
      <c r="J135" s="24">
        <f t="shared" si="71"/>
        <v>0</v>
      </c>
      <c r="L135" s="23"/>
      <c r="M135" s="24">
        <f t="shared" si="80"/>
        <v>0</v>
      </c>
      <c r="N135" s="72"/>
      <c r="O135" s="23"/>
      <c r="P135" s="24">
        <f t="shared" si="74"/>
        <v>0</v>
      </c>
      <c r="Q135" s="25"/>
      <c r="R135" s="23"/>
      <c r="S135" s="24">
        <f t="shared" si="75"/>
        <v>0</v>
      </c>
      <c r="T135" s="72"/>
      <c r="U135" s="23"/>
      <c r="V135" s="24">
        <f t="shared" si="76"/>
        <v>0</v>
      </c>
      <c r="W135" s="72"/>
      <c r="X135" s="23"/>
      <c r="Y135" s="24">
        <f t="shared" si="77"/>
        <v>0</v>
      </c>
      <c r="Z135" s="25"/>
      <c r="AA135" s="23"/>
      <c r="AB135" s="24">
        <f t="shared" si="78"/>
        <v>0</v>
      </c>
      <c r="AD135" s="73"/>
      <c r="AE135" s="29"/>
      <c r="AF135" s="26"/>
    </row>
    <row r="136" spans="1:32" s="71" customFormat="1" outlineLevel="1">
      <c r="A136" s="68" t="str">
        <f t="shared" si="70"/>
        <v>3.2</v>
      </c>
      <c r="B136" s="69">
        <v>20</v>
      </c>
      <c r="C136" s="84"/>
      <c r="D136" s="84"/>
      <c r="E136" s="70"/>
      <c r="F136" s="18">
        <f t="shared" si="79"/>
        <v>0</v>
      </c>
      <c r="G136" s="19">
        <f t="shared" si="73"/>
        <v>0</v>
      </c>
      <c r="I136" s="23"/>
      <c r="J136" s="24">
        <f t="shared" si="71"/>
        <v>0</v>
      </c>
      <c r="L136" s="23"/>
      <c r="M136" s="24">
        <f t="shared" si="80"/>
        <v>0</v>
      </c>
      <c r="N136" s="72"/>
      <c r="O136" s="23"/>
      <c r="P136" s="24">
        <f t="shared" si="74"/>
        <v>0</v>
      </c>
      <c r="Q136" s="25"/>
      <c r="R136" s="23"/>
      <c r="S136" s="24">
        <f t="shared" si="75"/>
        <v>0</v>
      </c>
      <c r="T136" s="72"/>
      <c r="U136" s="23"/>
      <c r="V136" s="24">
        <f t="shared" si="76"/>
        <v>0</v>
      </c>
      <c r="W136" s="72"/>
      <c r="X136" s="23"/>
      <c r="Y136" s="24">
        <f t="shared" si="77"/>
        <v>0</v>
      </c>
      <c r="Z136" s="25"/>
      <c r="AA136" s="23"/>
      <c r="AB136" s="24">
        <f t="shared" si="78"/>
        <v>0</v>
      </c>
      <c r="AD136" s="73"/>
      <c r="AE136" s="29"/>
      <c r="AF136" s="26"/>
    </row>
    <row r="137" spans="1:32" s="71" customFormat="1" outlineLevel="1">
      <c r="A137" s="68" t="str">
        <f t="shared" si="70"/>
        <v>3.2</v>
      </c>
      <c r="B137" s="69">
        <v>21</v>
      </c>
      <c r="E137" s="70"/>
      <c r="F137" s="18">
        <f t="shared" si="79"/>
        <v>0</v>
      </c>
      <c r="G137" s="19">
        <f t="shared" si="73"/>
        <v>0</v>
      </c>
      <c r="I137" s="23"/>
      <c r="J137" s="24">
        <f t="shared" si="71"/>
        <v>0</v>
      </c>
      <c r="L137" s="23"/>
      <c r="M137" s="24">
        <f t="shared" si="80"/>
        <v>0</v>
      </c>
      <c r="N137" s="72"/>
      <c r="O137" s="23"/>
      <c r="P137" s="24">
        <f t="shared" si="74"/>
        <v>0</v>
      </c>
      <c r="Q137" s="25"/>
      <c r="R137" s="23"/>
      <c r="S137" s="24">
        <f t="shared" si="75"/>
        <v>0</v>
      </c>
      <c r="T137" s="72"/>
      <c r="U137" s="23"/>
      <c r="V137" s="24">
        <f t="shared" si="76"/>
        <v>0</v>
      </c>
      <c r="W137" s="72"/>
      <c r="X137" s="23"/>
      <c r="Y137" s="24">
        <f t="shared" si="77"/>
        <v>0</v>
      </c>
      <c r="Z137" s="25"/>
      <c r="AA137" s="23"/>
      <c r="AB137" s="24">
        <f t="shared" si="78"/>
        <v>0</v>
      </c>
      <c r="AD137" s="73"/>
      <c r="AE137" s="29"/>
      <c r="AF137" s="26"/>
    </row>
    <row r="138" spans="1:32" s="71" customFormat="1" outlineLevel="1">
      <c r="A138" s="68" t="str">
        <f t="shared" si="70"/>
        <v>3.2</v>
      </c>
      <c r="B138" s="69">
        <v>22</v>
      </c>
      <c r="E138" s="70"/>
      <c r="F138" s="18">
        <f t="shared" si="79"/>
        <v>0</v>
      </c>
      <c r="G138" s="19">
        <f t="shared" si="73"/>
        <v>0</v>
      </c>
      <c r="I138" s="23"/>
      <c r="J138" s="24">
        <f t="shared" si="71"/>
        <v>0</v>
      </c>
      <c r="L138" s="23"/>
      <c r="M138" s="24">
        <f t="shared" si="80"/>
        <v>0</v>
      </c>
      <c r="N138" s="72"/>
      <c r="O138" s="23"/>
      <c r="P138" s="24">
        <f t="shared" si="74"/>
        <v>0</v>
      </c>
      <c r="Q138" s="25"/>
      <c r="R138" s="23"/>
      <c r="S138" s="24">
        <f t="shared" si="75"/>
        <v>0</v>
      </c>
      <c r="T138" s="72"/>
      <c r="U138" s="23"/>
      <c r="V138" s="24">
        <f t="shared" si="76"/>
        <v>0</v>
      </c>
      <c r="W138" s="72"/>
      <c r="X138" s="23"/>
      <c r="Y138" s="24">
        <f t="shared" si="77"/>
        <v>0</v>
      </c>
      <c r="Z138" s="25"/>
      <c r="AA138" s="23"/>
      <c r="AB138" s="24">
        <f t="shared" si="78"/>
        <v>0</v>
      </c>
      <c r="AD138" s="73"/>
      <c r="AE138" s="29"/>
      <c r="AF138" s="26"/>
    </row>
    <row r="139" spans="1:32" s="71" customFormat="1" outlineLevel="1">
      <c r="A139" s="68" t="str">
        <f t="shared" si="70"/>
        <v>3.2</v>
      </c>
      <c r="B139" s="69">
        <v>23</v>
      </c>
      <c r="C139" s="70"/>
      <c r="D139" s="70"/>
      <c r="E139" s="70"/>
      <c r="F139" s="18">
        <f t="shared" si="79"/>
        <v>0</v>
      </c>
      <c r="G139" s="19">
        <f t="shared" si="73"/>
        <v>0</v>
      </c>
      <c r="I139" s="23"/>
      <c r="J139" s="24">
        <f t="shared" si="71"/>
        <v>0</v>
      </c>
      <c r="L139" s="23"/>
      <c r="M139" s="24">
        <f t="shared" si="80"/>
        <v>0</v>
      </c>
      <c r="N139" s="72"/>
      <c r="O139" s="23"/>
      <c r="P139" s="24">
        <f t="shared" si="74"/>
        <v>0</v>
      </c>
      <c r="Q139" s="25"/>
      <c r="R139" s="23"/>
      <c r="S139" s="24">
        <f t="shared" si="75"/>
        <v>0</v>
      </c>
      <c r="T139" s="72"/>
      <c r="U139" s="23"/>
      <c r="V139" s="24">
        <f t="shared" si="76"/>
        <v>0</v>
      </c>
      <c r="W139" s="72"/>
      <c r="X139" s="23"/>
      <c r="Y139" s="24">
        <f t="shared" si="77"/>
        <v>0</v>
      </c>
      <c r="Z139" s="25"/>
      <c r="AA139" s="23"/>
      <c r="AB139" s="24">
        <f t="shared" si="78"/>
        <v>0</v>
      </c>
      <c r="AD139" s="73"/>
      <c r="AE139" s="29"/>
      <c r="AF139" s="26"/>
    </row>
    <row r="140" spans="1:32" s="71" customFormat="1" outlineLevel="1">
      <c r="A140" s="68" t="str">
        <f t="shared" si="70"/>
        <v>3.2</v>
      </c>
      <c r="B140" s="69">
        <v>24</v>
      </c>
      <c r="C140" s="70"/>
      <c r="D140" s="70"/>
      <c r="E140" s="70"/>
      <c r="F140" s="18">
        <f t="shared" si="79"/>
        <v>0</v>
      </c>
      <c r="G140" s="19">
        <f t="shared" si="73"/>
        <v>0</v>
      </c>
      <c r="I140" s="23"/>
      <c r="J140" s="24">
        <f t="shared" si="71"/>
        <v>0</v>
      </c>
      <c r="L140" s="23"/>
      <c r="M140" s="24">
        <f t="shared" si="80"/>
        <v>0</v>
      </c>
      <c r="N140" s="72"/>
      <c r="O140" s="23"/>
      <c r="P140" s="24">
        <f t="shared" si="74"/>
        <v>0</v>
      </c>
      <c r="Q140" s="25"/>
      <c r="R140" s="23"/>
      <c r="S140" s="24">
        <f t="shared" si="75"/>
        <v>0</v>
      </c>
      <c r="T140" s="72"/>
      <c r="U140" s="23"/>
      <c r="V140" s="24">
        <f t="shared" si="76"/>
        <v>0</v>
      </c>
      <c r="W140" s="72"/>
      <c r="X140" s="23"/>
      <c r="Y140" s="24">
        <f t="shared" si="77"/>
        <v>0</v>
      </c>
      <c r="Z140" s="25"/>
      <c r="AA140" s="23"/>
      <c r="AB140" s="24">
        <f t="shared" si="78"/>
        <v>0</v>
      </c>
      <c r="AD140" s="73"/>
      <c r="AE140" s="29"/>
      <c r="AF140" s="26"/>
    </row>
    <row r="141" spans="1:32" s="70" customFormat="1" outlineLevel="1">
      <c r="A141" s="68" t="str">
        <f t="shared" si="70"/>
        <v>3.2</v>
      </c>
      <c r="B141" s="69">
        <v>25</v>
      </c>
      <c r="F141" s="18">
        <f t="shared" si="79"/>
        <v>0</v>
      </c>
      <c r="G141" s="19">
        <f t="shared" si="73"/>
        <v>0</v>
      </c>
      <c r="H141" s="71"/>
      <c r="I141" s="23"/>
      <c r="J141" s="24">
        <f t="shared" si="71"/>
        <v>0</v>
      </c>
      <c r="K141" s="71"/>
      <c r="L141" s="23"/>
      <c r="M141" s="24">
        <f t="shared" si="80"/>
        <v>0</v>
      </c>
      <c r="N141" s="72"/>
      <c r="O141" s="23"/>
      <c r="P141" s="24">
        <f t="shared" si="74"/>
        <v>0</v>
      </c>
      <c r="Q141" s="25"/>
      <c r="R141" s="23"/>
      <c r="S141" s="24">
        <f t="shared" si="75"/>
        <v>0</v>
      </c>
      <c r="T141" s="72"/>
      <c r="U141" s="23"/>
      <c r="V141" s="24">
        <f t="shared" si="76"/>
        <v>0</v>
      </c>
      <c r="W141" s="72"/>
      <c r="X141" s="23"/>
      <c r="Y141" s="24">
        <f t="shared" si="77"/>
        <v>0</v>
      </c>
      <c r="Z141" s="25"/>
      <c r="AA141" s="23"/>
      <c r="AB141" s="24">
        <f t="shared" si="78"/>
        <v>0</v>
      </c>
      <c r="AD141" s="73"/>
      <c r="AE141" s="29"/>
      <c r="AF141" s="26"/>
    </row>
    <row r="142" spans="1:32" s="66" customFormat="1">
      <c r="A142" s="63" t="str">
        <f>A115</f>
        <v>3.2</v>
      </c>
      <c r="B142" s="64"/>
      <c r="C142" s="65" t="s">
        <v>41</v>
      </c>
      <c r="D142" s="65"/>
      <c r="E142" s="65"/>
      <c r="F142" s="64">
        <f>SUBTOTAL(9,F143:F148)</f>
        <v>0</v>
      </c>
      <c r="G142" s="22">
        <f>SUBTOTAL(9,G143:G148)</f>
        <v>0</v>
      </c>
      <c r="H142" s="64"/>
      <c r="I142" s="64"/>
      <c r="J142" s="27"/>
      <c r="K142" s="64"/>
      <c r="L142" s="64"/>
      <c r="M142" s="27"/>
      <c r="O142" s="64"/>
      <c r="P142" s="27"/>
      <c r="Q142" s="21"/>
      <c r="R142" s="64"/>
      <c r="S142" s="27"/>
      <c r="U142" s="64"/>
      <c r="V142" s="27"/>
      <c r="X142" s="64"/>
      <c r="Y142" s="27"/>
      <c r="Z142" s="21"/>
      <c r="AA142" s="64"/>
      <c r="AB142" s="27"/>
      <c r="AD142" s="67"/>
      <c r="AE142" s="28"/>
      <c r="AF142" s="27">
        <f>SUBTOTAL(9,AF143:AF148)</f>
        <v>0</v>
      </c>
    </row>
    <row r="143" spans="1:32" outlineLevel="1">
      <c r="A143" s="68" t="str">
        <f>A115</f>
        <v>3.2</v>
      </c>
      <c r="B143" s="4">
        <v>15</v>
      </c>
      <c r="C143" s="74" t="s">
        <v>105</v>
      </c>
      <c r="D143" s="74"/>
      <c r="F143" s="18">
        <f t="shared" ref="F143:F148" si="81">I143+L143+O143+R143+U143+X143+AA143</f>
        <v>0</v>
      </c>
      <c r="G143" s="19">
        <f>J143+M143+P143+S143+V143+Y143+AB143+AF143</f>
        <v>0</v>
      </c>
      <c r="I143" s="3"/>
      <c r="J143" s="10"/>
      <c r="L143" s="3"/>
      <c r="M143" s="10"/>
      <c r="O143" s="3"/>
      <c r="P143" s="10"/>
      <c r="R143" s="3"/>
      <c r="S143" s="10"/>
      <c r="U143" s="3"/>
      <c r="V143" s="10"/>
      <c r="X143" s="3"/>
      <c r="Y143" s="10"/>
      <c r="AA143" s="3"/>
      <c r="AB143" s="10"/>
      <c r="AD143" s="75"/>
      <c r="AE143" s="39">
        <v>0</v>
      </c>
      <c r="AF143" s="40">
        <f t="shared" ref="AF143:AF148" si="82">AD143*AE143</f>
        <v>0</v>
      </c>
    </row>
    <row r="144" spans="1:32" outlineLevel="1">
      <c r="A144" s="68" t="str">
        <f>A115</f>
        <v>3.2</v>
      </c>
      <c r="B144" s="4">
        <v>16</v>
      </c>
      <c r="C144" s="74" t="s">
        <v>91</v>
      </c>
      <c r="D144" s="74"/>
      <c r="F144" s="18">
        <f t="shared" si="81"/>
        <v>0</v>
      </c>
      <c r="G144" s="19">
        <f t="shared" ref="G144:G148" si="83">J144+M144+P144+S144+V144+Y144+AB144+AF144</f>
        <v>0</v>
      </c>
      <c r="I144" s="3"/>
      <c r="J144" s="10"/>
      <c r="L144" s="3"/>
      <c r="M144" s="10"/>
      <c r="O144" s="3"/>
      <c r="P144" s="10"/>
      <c r="R144" s="3"/>
      <c r="S144" s="10"/>
      <c r="U144" s="3"/>
      <c r="V144" s="10"/>
      <c r="X144" s="3"/>
      <c r="Y144" s="10"/>
      <c r="AA144" s="3"/>
      <c r="AB144" s="10"/>
      <c r="AD144" s="75"/>
      <c r="AE144" s="39">
        <v>0</v>
      </c>
      <c r="AF144" s="40">
        <f t="shared" si="82"/>
        <v>0</v>
      </c>
    </row>
    <row r="145" spans="1:32" outlineLevel="1">
      <c r="A145" s="68" t="str">
        <f>A115</f>
        <v>3.2</v>
      </c>
      <c r="B145" s="4">
        <v>17</v>
      </c>
      <c r="C145" s="74" t="s">
        <v>106</v>
      </c>
      <c r="D145" s="74"/>
      <c r="F145" s="18">
        <f t="shared" si="81"/>
        <v>0</v>
      </c>
      <c r="G145" s="19">
        <f t="shared" si="83"/>
        <v>0</v>
      </c>
      <c r="I145" s="3"/>
      <c r="J145" s="10"/>
      <c r="L145" s="3"/>
      <c r="M145" s="10"/>
      <c r="O145" s="3"/>
      <c r="P145" s="10"/>
      <c r="R145" s="3"/>
      <c r="S145" s="10"/>
      <c r="U145" s="3"/>
      <c r="V145" s="10"/>
      <c r="X145" s="3"/>
      <c r="Y145" s="10"/>
      <c r="AA145" s="3"/>
      <c r="AB145" s="10"/>
      <c r="AD145" s="75"/>
      <c r="AE145" s="39">
        <v>0</v>
      </c>
      <c r="AF145" s="40">
        <f t="shared" si="82"/>
        <v>0</v>
      </c>
    </row>
    <row r="146" spans="1:32" outlineLevel="1">
      <c r="A146" s="68" t="str">
        <f>A115</f>
        <v>3.2</v>
      </c>
      <c r="B146" s="4">
        <v>18</v>
      </c>
      <c r="C146" s="1" t="s">
        <v>107</v>
      </c>
      <c r="D146" s="1"/>
      <c r="F146" s="18">
        <f t="shared" si="81"/>
        <v>0</v>
      </c>
      <c r="G146" s="19">
        <f t="shared" si="83"/>
        <v>0</v>
      </c>
      <c r="I146" s="3"/>
      <c r="J146" s="10"/>
      <c r="L146" s="3"/>
      <c r="M146" s="10"/>
      <c r="O146" s="3"/>
      <c r="P146" s="10"/>
      <c r="R146" s="3"/>
      <c r="S146" s="10"/>
      <c r="U146" s="3"/>
      <c r="V146" s="10"/>
      <c r="X146" s="3"/>
      <c r="Y146" s="10"/>
      <c r="AA146" s="3"/>
      <c r="AB146" s="10"/>
      <c r="AD146" s="75"/>
      <c r="AE146" s="39">
        <v>0</v>
      </c>
      <c r="AF146" s="40">
        <f t="shared" si="82"/>
        <v>0</v>
      </c>
    </row>
    <row r="147" spans="1:32" outlineLevel="1">
      <c r="A147" s="68" t="str">
        <f>A115</f>
        <v>3.2</v>
      </c>
      <c r="B147" s="4">
        <v>19</v>
      </c>
      <c r="F147" s="18">
        <f t="shared" si="81"/>
        <v>0</v>
      </c>
      <c r="G147" s="19">
        <f t="shared" si="83"/>
        <v>0</v>
      </c>
      <c r="I147" s="3"/>
      <c r="J147" s="10"/>
      <c r="L147" s="3"/>
      <c r="M147" s="10"/>
      <c r="O147" s="3"/>
      <c r="P147" s="10"/>
      <c r="R147" s="3"/>
      <c r="S147" s="10"/>
      <c r="U147" s="3"/>
      <c r="V147" s="10"/>
      <c r="X147" s="3"/>
      <c r="Y147" s="10"/>
      <c r="AA147" s="3"/>
      <c r="AB147" s="10"/>
      <c r="AD147" s="75"/>
      <c r="AE147" s="39">
        <v>0</v>
      </c>
      <c r="AF147" s="40">
        <f t="shared" si="82"/>
        <v>0</v>
      </c>
    </row>
    <row r="148" spans="1:32" ht="13.8" outlineLevel="1" thickBot="1">
      <c r="A148" s="68" t="str">
        <f>A115</f>
        <v>3.2</v>
      </c>
      <c r="B148" s="4">
        <v>20</v>
      </c>
      <c r="F148" s="18">
        <f t="shared" si="81"/>
        <v>0</v>
      </c>
      <c r="G148" s="19">
        <f t="shared" si="83"/>
        <v>0</v>
      </c>
      <c r="I148" s="3"/>
      <c r="J148" s="10"/>
      <c r="L148" s="3"/>
      <c r="M148" s="10"/>
      <c r="O148" s="3"/>
      <c r="P148" s="10"/>
      <c r="R148" s="3"/>
      <c r="S148" s="10"/>
      <c r="U148" s="3"/>
      <c r="V148" s="10"/>
      <c r="X148" s="3"/>
      <c r="Y148" s="10"/>
      <c r="AA148" s="3"/>
      <c r="AB148" s="10"/>
      <c r="AD148" s="75"/>
      <c r="AE148" s="39">
        <v>0</v>
      </c>
      <c r="AF148" s="40">
        <f t="shared" si="82"/>
        <v>0</v>
      </c>
    </row>
    <row r="149" spans="1:32" s="61" customFormat="1" ht="14.4" thickTop="1" thickBot="1">
      <c r="A149" s="58" t="s">
        <v>17</v>
      </c>
      <c r="B149" s="59"/>
      <c r="C149" s="60" t="str">
        <f>CONCATENATE("Process Development - Equipment and Testing Equipment - ",D2)</f>
        <v>Process Development - Equipment and Testing Equipment - PrkzZm</v>
      </c>
      <c r="D149" s="60"/>
      <c r="E149" s="60"/>
      <c r="F149" s="32">
        <f>SUBTOTAL(9,F151:F171)</f>
        <v>0</v>
      </c>
      <c r="G149" s="33">
        <f>SUBTOTAL(9,G151:G171)</f>
        <v>0</v>
      </c>
      <c r="H149" s="59"/>
      <c r="I149" s="59">
        <f>SUBTOTAL(9,I151:I171)</f>
        <v>0</v>
      </c>
      <c r="J149" s="11">
        <f>SUBTOTAL(9,J151:J171)</f>
        <v>0</v>
      </c>
      <c r="K149" s="59"/>
      <c r="L149" s="59">
        <f>SUBTOTAL(9,L151:L171)</f>
        <v>0</v>
      </c>
      <c r="M149" s="11">
        <f>SUBTOTAL(9,M151:M171)</f>
        <v>0</v>
      </c>
      <c r="O149" s="59">
        <f>SUBTOTAL(9,O151:O171)</f>
        <v>0</v>
      </c>
      <c r="P149" s="11">
        <f>SUBTOTAL(9,P151:P171)</f>
        <v>0</v>
      </c>
      <c r="Q149" s="7"/>
      <c r="R149" s="59">
        <f>SUBTOTAL(9,R151:R171)</f>
        <v>0</v>
      </c>
      <c r="S149" s="11">
        <f>SUBTOTAL(9,S151:S171)</f>
        <v>0</v>
      </c>
      <c r="U149" s="59">
        <f>SUBTOTAL(9,U151:U171)</f>
        <v>0</v>
      </c>
      <c r="V149" s="11">
        <f>SUBTOTAL(9,V151:V171)</f>
        <v>0</v>
      </c>
      <c r="X149" s="59">
        <f>SUBTOTAL(9,X151:X171)</f>
        <v>0</v>
      </c>
      <c r="Y149" s="11">
        <f>SUBTOTAL(9,Y151:Y171)</f>
        <v>0</v>
      </c>
      <c r="Z149" s="7"/>
      <c r="AA149" s="59">
        <f>SUBTOTAL(9,AA151:AA171)</f>
        <v>0</v>
      </c>
      <c r="AB149" s="11">
        <f>SUBTOTAL(9,AB151:AB171)</f>
        <v>0</v>
      </c>
      <c r="AD149" s="62"/>
      <c r="AE149" s="38"/>
      <c r="AF149" s="33">
        <f>SUBTOTAL(9,AF151:AF171)</f>
        <v>0</v>
      </c>
    </row>
    <row r="150" spans="1:32" s="66" customFormat="1" ht="13.8" thickTop="1">
      <c r="A150" s="63" t="str">
        <f>A149</f>
        <v>4.1</v>
      </c>
      <c r="B150" s="64"/>
      <c r="C150" s="65" t="s">
        <v>24</v>
      </c>
      <c r="D150" s="65"/>
      <c r="E150" s="65"/>
      <c r="F150" s="64">
        <f>SUBTOTAL(9,F151:F164)</f>
        <v>0</v>
      </c>
      <c r="G150" s="22">
        <f>SUBTOTAL(9,G151:G164)</f>
        <v>0</v>
      </c>
      <c r="H150" s="64"/>
      <c r="I150" s="64">
        <f>SUBTOTAL(9,I151:I164)</f>
        <v>0</v>
      </c>
      <c r="J150" s="22">
        <f>SUBTOTAL(9,J151:J164)</f>
        <v>0</v>
      </c>
      <c r="K150" s="64"/>
      <c r="L150" s="64">
        <f>SUBTOTAL(9,L151:L164)</f>
        <v>0</v>
      </c>
      <c r="M150" s="22">
        <f>SUBTOTAL(9,M151:M164)</f>
        <v>0</v>
      </c>
      <c r="O150" s="64">
        <f>SUBTOTAL(9,O151:O164)</f>
        <v>0</v>
      </c>
      <c r="P150" s="22">
        <f>SUBTOTAL(9,P151:P164)</f>
        <v>0</v>
      </c>
      <c r="Q150" s="21"/>
      <c r="R150" s="64">
        <f>SUBTOTAL(9,R151:R164)</f>
        <v>0</v>
      </c>
      <c r="S150" s="22">
        <f>SUBTOTAL(9,S151:S164)</f>
        <v>0</v>
      </c>
      <c r="U150" s="64">
        <f>SUBTOTAL(9,U151:U164)</f>
        <v>0</v>
      </c>
      <c r="V150" s="22">
        <f>SUBTOTAL(9,V151:V164)</f>
        <v>0</v>
      </c>
      <c r="X150" s="64">
        <f>SUBTOTAL(9,X151:X164)</f>
        <v>0</v>
      </c>
      <c r="Y150" s="22">
        <f>SUBTOTAL(9,Y151:Y164)</f>
        <v>0</v>
      </c>
      <c r="Z150" s="21"/>
      <c r="AA150" s="64">
        <f>SUBTOTAL(9,AA151:AA164)</f>
        <v>0</v>
      </c>
      <c r="AB150" s="22">
        <f>SUBTOTAL(9,AB151:AB164)</f>
        <v>0</v>
      </c>
      <c r="AD150" s="67"/>
      <c r="AE150" s="28"/>
      <c r="AF150" s="27"/>
    </row>
    <row r="151" spans="1:32" s="71" customFormat="1" outlineLevel="1">
      <c r="A151" s="68" t="str">
        <f>A149</f>
        <v>4.1</v>
      </c>
      <c r="B151" s="69">
        <v>1</v>
      </c>
      <c r="C151" s="85" t="s">
        <v>108</v>
      </c>
      <c r="E151" s="70"/>
      <c r="F151" s="18">
        <f>I151+L151+O151+R151+U151+X151+AA151</f>
        <v>0</v>
      </c>
      <c r="G151" s="19">
        <f>J151+M151+P151+S151+V151+Y151+AB151+AF151</f>
        <v>0</v>
      </c>
      <c r="I151" s="23"/>
      <c r="J151" s="24">
        <f t="shared" ref="J151:J164" si="84">I151*J$2</f>
        <v>0</v>
      </c>
      <c r="L151" s="23">
        <v>0</v>
      </c>
      <c r="M151" s="24">
        <f>L151*M$2</f>
        <v>0</v>
      </c>
      <c r="N151" s="72"/>
      <c r="O151" s="23">
        <v>0</v>
      </c>
      <c r="P151" s="24">
        <f>O151*P$2</f>
        <v>0</v>
      </c>
      <c r="Q151" s="25"/>
      <c r="R151" s="23">
        <v>0</v>
      </c>
      <c r="S151" s="24">
        <f>R151*S$2</f>
        <v>0</v>
      </c>
      <c r="T151" s="72"/>
      <c r="U151" s="23"/>
      <c r="V151" s="24">
        <f>U151*V$2</f>
        <v>0</v>
      </c>
      <c r="W151" s="72"/>
      <c r="X151" s="23">
        <v>0</v>
      </c>
      <c r="Y151" s="24">
        <f>X151*Y$2</f>
        <v>0</v>
      </c>
      <c r="Z151" s="25"/>
      <c r="AA151" s="23"/>
      <c r="AB151" s="24">
        <f>AA151*AB$2</f>
        <v>0</v>
      </c>
      <c r="AD151" s="73"/>
      <c r="AE151" s="29"/>
      <c r="AF151" s="26"/>
    </row>
    <row r="152" spans="1:32" s="71" customFormat="1" outlineLevel="1">
      <c r="A152" s="68" t="str">
        <f>A149</f>
        <v>4.1</v>
      </c>
      <c r="B152" s="69">
        <v>2</v>
      </c>
      <c r="C152" s="85" t="s">
        <v>109</v>
      </c>
      <c r="E152" s="70"/>
      <c r="F152" s="18">
        <f t="shared" ref="F152:F164" si="85">I152+L152+O152+R152+U152+X152+AA152</f>
        <v>0</v>
      </c>
      <c r="G152" s="19">
        <f t="shared" ref="G152:G164" si="86">J152+M152+P152+S152+V152+Y152+AB152+AF152</f>
        <v>0</v>
      </c>
      <c r="I152" s="23"/>
      <c r="J152" s="24">
        <f t="shared" si="84"/>
        <v>0</v>
      </c>
      <c r="L152" s="23">
        <v>0</v>
      </c>
      <c r="M152" s="24">
        <f t="shared" ref="M152:M164" si="87">L152*M$2</f>
        <v>0</v>
      </c>
      <c r="N152" s="72"/>
      <c r="O152" s="23">
        <v>0</v>
      </c>
      <c r="P152" s="24">
        <f t="shared" ref="P152:P164" si="88">O152*P$2</f>
        <v>0</v>
      </c>
      <c r="Q152" s="25"/>
      <c r="R152" s="23">
        <v>0</v>
      </c>
      <c r="S152" s="24">
        <f t="shared" ref="S152:S164" si="89">R152*S$2</f>
        <v>0</v>
      </c>
      <c r="T152" s="72"/>
      <c r="U152" s="23"/>
      <c r="V152" s="24">
        <f t="shared" ref="V152:V164" si="90">U152*V$2</f>
        <v>0</v>
      </c>
      <c r="W152" s="72"/>
      <c r="X152" s="23">
        <v>0</v>
      </c>
      <c r="Y152" s="24">
        <f t="shared" ref="Y152:Y164" si="91">X152*Y$2</f>
        <v>0</v>
      </c>
      <c r="Z152" s="25"/>
      <c r="AA152" s="23"/>
      <c r="AB152" s="24">
        <f t="shared" ref="AB152:AB164" si="92">AA152*AB$2</f>
        <v>0</v>
      </c>
      <c r="AD152" s="73"/>
      <c r="AE152" s="29"/>
      <c r="AF152" s="26"/>
    </row>
    <row r="153" spans="1:32" s="71" customFormat="1" outlineLevel="1">
      <c r="A153" s="68" t="str">
        <f>A149</f>
        <v>4.1</v>
      </c>
      <c r="B153" s="69">
        <v>3</v>
      </c>
      <c r="C153" s="86" t="s">
        <v>110</v>
      </c>
      <c r="D153" s="87"/>
      <c r="E153" s="70"/>
      <c r="F153" s="18">
        <f t="shared" si="85"/>
        <v>0</v>
      </c>
      <c r="G153" s="19">
        <f t="shared" si="86"/>
        <v>0</v>
      </c>
      <c r="I153" s="23"/>
      <c r="J153" s="24">
        <f t="shared" si="84"/>
        <v>0</v>
      </c>
      <c r="L153" s="23">
        <v>0</v>
      </c>
      <c r="M153" s="24">
        <f t="shared" si="87"/>
        <v>0</v>
      </c>
      <c r="N153" s="72"/>
      <c r="O153" s="23">
        <v>0</v>
      </c>
      <c r="P153" s="24">
        <f t="shared" si="88"/>
        <v>0</v>
      </c>
      <c r="Q153" s="25"/>
      <c r="R153" s="23">
        <v>0</v>
      </c>
      <c r="S153" s="24">
        <f t="shared" si="89"/>
        <v>0</v>
      </c>
      <c r="T153" s="72"/>
      <c r="U153" s="23"/>
      <c r="V153" s="24">
        <f t="shared" si="90"/>
        <v>0</v>
      </c>
      <c r="W153" s="72"/>
      <c r="X153" s="23">
        <v>0</v>
      </c>
      <c r="Y153" s="24">
        <f t="shared" si="91"/>
        <v>0</v>
      </c>
      <c r="Z153" s="25"/>
      <c r="AA153" s="23"/>
      <c r="AB153" s="24">
        <f t="shared" si="92"/>
        <v>0</v>
      </c>
      <c r="AD153" s="73"/>
      <c r="AE153" s="29"/>
      <c r="AF153" s="26"/>
    </row>
    <row r="154" spans="1:32" s="71" customFormat="1" outlineLevel="1">
      <c r="A154" s="68" t="str">
        <f>A149</f>
        <v>4.1</v>
      </c>
      <c r="B154" s="69">
        <v>4</v>
      </c>
      <c r="C154" s="88" t="s">
        <v>111</v>
      </c>
      <c r="D154" s="74"/>
      <c r="E154" s="70"/>
      <c r="F154" s="18">
        <f t="shared" si="85"/>
        <v>0</v>
      </c>
      <c r="G154" s="19">
        <f t="shared" si="86"/>
        <v>0</v>
      </c>
      <c r="I154" s="23"/>
      <c r="J154" s="24">
        <f t="shared" si="84"/>
        <v>0</v>
      </c>
      <c r="L154" s="23">
        <v>0</v>
      </c>
      <c r="M154" s="24">
        <f t="shared" si="87"/>
        <v>0</v>
      </c>
      <c r="N154" s="72"/>
      <c r="O154" s="23">
        <v>0</v>
      </c>
      <c r="P154" s="24">
        <f t="shared" si="88"/>
        <v>0</v>
      </c>
      <c r="Q154" s="25"/>
      <c r="R154" s="23">
        <v>0</v>
      </c>
      <c r="S154" s="24">
        <f t="shared" si="89"/>
        <v>0</v>
      </c>
      <c r="T154" s="72"/>
      <c r="U154" s="23"/>
      <c r="V154" s="24">
        <f t="shared" si="90"/>
        <v>0</v>
      </c>
      <c r="W154" s="72"/>
      <c r="X154" s="23">
        <v>0</v>
      </c>
      <c r="Y154" s="24">
        <f t="shared" si="91"/>
        <v>0</v>
      </c>
      <c r="Z154" s="25"/>
      <c r="AA154" s="23"/>
      <c r="AB154" s="24">
        <f t="shared" si="92"/>
        <v>0</v>
      </c>
      <c r="AD154" s="73"/>
      <c r="AE154" s="29"/>
      <c r="AF154" s="26"/>
    </row>
    <row r="155" spans="1:32" s="71" customFormat="1" outlineLevel="1">
      <c r="A155" s="68" t="str">
        <f>A149</f>
        <v>4.1</v>
      </c>
      <c r="B155" s="69">
        <v>5</v>
      </c>
      <c r="C155" s="85" t="s">
        <v>112</v>
      </c>
      <c r="E155" s="70"/>
      <c r="F155" s="18">
        <f t="shared" si="85"/>
        <v>0</v>
      </c>
      <c r="G155" s="19">
        <f t="shared" si="86"/>
        <v>0</v>
      </c>
      <c r="I155" s="23"/>
      <c r="J155" s="24">
        <f t="shared" si="84"/>
        <v>0</v>
      </c>
      <c r="L155" s="23">
        <v>0</v>
      </c>
      <c r="M155" s="24">
        <f t="shared" si="87"/>
        <v>0</v>
      </c>
      <c r="N155" s="72"/>
      <c r="O155" s="23">
        <v>0</v>
      </c>
      <c r="P155" s="24">
        <f t="shared" si="88"/>
        <v>0</v>
      </c>
      <c r="Q155" s="25"/>
      <c r="R155" s="23">
        <v>0</v>
      </c>
      <c r="S155" s="24">
        <f t="shared" si="89"/>
        <v>0</v>
      </c>
      <c r="T155" s="72"/>
      <c r="U155" s="23"/>
      <c r="V155" s="24">
        <f t="shared" si="90"/>
        <v>0</v>
      </c>
      <c r="W155" s="72"/>
      <c r="X155" s="23">
        <v>0</v>
      </c>
      <c r="Y155" s="24">
        <f t="shared" si="91"/>
        <v>0</v>
      </c>
      <c r="Z155" s="25"/>
      <c r="AA155" s="23"/>
      <c r="AB155" s="24">
        <f t="shared" si="92"/>
        <v>0</v>
      </c>
      <c r="AD155" s="73"/>
      <c r="AE155" s="29"/>
      <c r="AF155" s="26"/>
    </row>
    <row r="156" spans="1:32" s="71" customFormat="1" outlineLevel="1">
      <c r="A156" s="68" t="str">
        <f>A149</f>
        <v>4.1</v>
      </c>
      <c r="B156" s="69">
        <v>6</v>
      </c>
      <c r="C156" s="88" t="s">
        <v>113</v>
      </c>
      <c r="D156" s="74"/>
      <c r="E156" s="70"/>
      <c r="F156" s="18">
        <f t="shared" si="85"/>
        <v>0</v>
      </c>
      <c r="G156" s="19">
        <f t="shared" si="86"/>
        <v>0</v>
      </c>
      <c r="I156" s="23"/>
      <c r="J156" s="24">
        <f t="shared" si="84"/>
        <v>0</v>
      </c>
      <c r="L156" s="23">
        <v>0</v>
      </c>
      <c r="M156" s="24">
        <f t="shared" si="87"/>
        <v>0</v>
      </c>
      <c r="N156" s="72"/>
      <c r="O156" s="23">
        <v>0</v>
      </c>
      <c r="P156" s="24">
        <f t="shared" si="88"/>
        <v>0</v>
      </c>
      <c r="Q156" s="25"/>
      <c r="R156" s="23">
        <v>0</v>
      </c>
      <c r="S156" s="24">
        <f t="shared" si="89"/>
        <v>0</v>
      </c>
      <c r="T156" s="72"/>
      <c r="U156" s="23"/>
      <c r="V156" s="24">
        <f t="shared" si="90"/>
        <v>0</v>
      </c>
      <c r="W156" s="72"/>
      <c r="X156" s="23">
        <v>0</v>
      </c>
      <c r="Y156" s="24">
        <f t="shared" si="91"/>
        <v>0</v>
      </c>
      <c r="Z156" s="25"/>
      <c r="AA156" s="23"/>
      <c r="AB156" s="24">
        <f t="shared" si="92"/>
        <v>0</v>
      </c>
      <c r="AD156" s="73"/>
      <c r="AE156" s="29"/>
      <c r="AF156" s="26"/>
    </row>
    <row r="157" spans="1:32" s="71" customFormat="1" outlineLevel="1">
      <c r="A157" s="68" t="str">
        <f>A149</f>
        <v>4.1</v>
      </c>
      <c r="B157" s="69">
        <v>7</v>
      </c>
      <c r="C157" s="88" t="s">
        <v>114</v>
      </c>
      <c r="D157" s="74"/>
      <c r="E157" s="70"/>
      <c r="F157" s="18">
        <f t="shared" si="85"/>
        <v>0</v>
      </c>
      <c r="G157" s="19">
        <f t="shared" si="86"/>
        <v>0</v>
      </c>
      <c r="I157" s="23"/>
      <c r="J157" s="24">
        <f t="shared" si="84"/>
        <v>0</v>
      </c>
      <c r="L157" s="23">
        <v>0</v>
      </c>
      <c r="M157" s="24">
        <f t="shared" si="87"/>
        <v>0</v>
      </c>
      <c r="N157" s="72"/>
      <c r="O157" s="23">
        <v>0</v>
      </c>
      <c r="P157" s="24">
        <f t="shared" si="88"/>
        <v>0</v>
      </c>
      <c r="Q157" s="25"/>
      <c r="R157" s="23">
        <v>0</v>
      </c>
      <c r="S157" s="24">
        <f t="shared" si="89"/>
        <v>0</v>
      </c>
      <c r="T157" s="72"/>
      <c r="U157" s="23"/>
      <c r="V157" s="24">
        <f t="shared" si="90"/>
        <v>0</v>
      </c>
      <c r="W157" s="72"/>
      <c r="X157" s="23">
        <v>0</v>
      </c>
      <c r="Y157" s="24">
        <f t="shared" si="91"/>
        <v>0</v>
      </c>
      <c r="Z157" s="25"/>
      <c r="AA157" s="23"/>
      <c r="AB157" s="24">
        <f t="shared" si="92"/>
        <v>0</v>
      </c>
      <c r="AD157" s="73"/>
      <c r="AE157" s="29"/>
      <c r="AF157" s="26"/>
    </row>
    <row r="158" spans="1:32" s="71" customFormat="1" outlineLevel="1">
      <c r="A158" s="68" t="str">
        <f>A149</f>
        <v>4.1</v>
      </c>
      <c r="B158" s="69">
        <v>8</v>
      </c>
      <c r="C158" s="89" t="s">
        <v>115</v>
      </c>
      <c r="D158" s="70"/>
      <c r="E158" s="70"/>
      <c r="F158" s="18">
        <f t="shared" si="85"/>
        <v>0</v>
      </c>
      <c r="G158" s="19">
        <f t="shared" si="86"/>
        <v>0</v>
      </c>
      <c r="I158" s="23"/>
      <c r="J158" s="24">
        <f t="shared" si="84"/>
        <v>0</v>
      </c>
      <c r="L158" s="23">
        <v>0</v>
      </c>
      <c r="M158" s="24">
        <f t="shared" si="87"/>
        <v>0</v>
      </c>
      <c r="N158" s="72"/>
      <c r="O158" s="23">
        <v>0</v>
      </c>
      <c r="P158" s="24">
        <f t="shared" si="88"/>
        <v>0</v>
      </c>
      <c r="Q158" s="25"/>
      <c r="R158" s="23">
        <v>0</v>
      </c>
      <c r="S158" s="24">
        <f t="shared" si="89"/>
        <v>0</v>
      </c>
      <c r="T158" s="72"/>
      <c r="U158" s="23"/>
      <c r="V158" s="24">
        <f t="shared" si="90"/>
        <v>0</v>
      </c>
      <c r="W158" s="72"/>
      <c r="X158" s="23">
        <v>0</v>
      </c>
      <c r="Y158" s="24">
        <f t="shared" si="91"/>
        <v>0</v>
      </c>
      <c r="Z158" s="25"/>
      <c r="AA158" s="23"/>
      <c r="AB158" s="24">
        <f t="shared" si="92"/>
        <v>0</v>
      </c>
      <c r="AD158" s="73"/>
      <c r="AE158" s="29"/>
      <c r="AF158" s="26"/>
    </row>
    <row r="159" spans="1:32" s="70" customFormat="1" outlineLevel="1">
      <c r="A159" s="68" t="str">
        <f>A149</f>
        <v>4.1</v>
      </c>
      <c r="B159" s="69">
        <v>9</v>
      </c>
      <c r="C159" s="89" t="s">
        <v>116</v>
      </c>
      <c r="F159" s="18">
        <f t="shared" si="85"/>
        <v>0</v>
      </c>
      <c r="G159" s="19">
        <f t="shared" si="86"/>
        <v>0</v>
      </c>
      <c r="I159" s="23"/>
      <c r="J159" s="24">
        <f t="shared" si="84"/>
        <v>0</v>
      </c>
      <c r="L159" s="23">
        <v>0</v>
      </c>
      <c r="M159" s="24">
        <f t="shared" si="87"/>
        <v>0</v>
      </c>
      <c r="O159" s="23">
        <v>0</v>
      </c>
      <c r="P159" s="24">
        <f t="shared" si="88"/>
        <v>0</v>
      </c>
      <c r="R159" s="23">
        <v>0</v>
      </c>
      <c r="S159" s="24">
        <f t="shared" si="89"/>
        <v>0</v>
      </c>
      <c r="U159" s="23"/>
      <c r="V159" s="24">
        <f t="shared" si="90"/>
        <v>0</v>
      </c>
      <c r="X159" s="23">
        <v>0</v>
      </c>
      <c r="Y159" s="24">
        <f t="shared" si="91"/>
        <v>0</v>
      </c>
      <c r="AA159" s="23"/>
      <c r="AB159" s="24">
        <f t="shared" si="92"/>
        <v>0</v>
      </c>
      <c r="AD159" s="73"/>
      <c r="AE159" s="29"/>
      <c r="AF159" s="26"/>
    </row>
    <row r="160" spans="1:32" s="70" customFormat="1" outlineLevel="1">
      <c r="A160" s="68" t="str">
        <f>A149</f>
        <v>4.1</v>
      </c>
      <c r="B160" s="69">
        <v>10</v>
      </c>
      <c r="C160" s="89" t="s">
        <v>117</v>
      </c>
      <c r="F160" s="18">
        <f t="shared" si="85"/>
        <v>0</v>
      </c>
      <c r="G160" s="19">
        <f t="shared" si="86"/>
        <v>0</v>
      </c>
      <c r="I160" s="23"/>
      <c r="J160" s="24">
        <f t="shared" si="84"/>
        <v>0</v>
      </c>
      <c r="L160" s="23">
        <v>0</v>
      </c>
      <c r="M160" s="24">
        <f t="shared" si="87"/>
        <v>0</v>
      </c>
      <c r="O160" s="23">
        <v>0</v>
      </c>
      <c r="P160" s="24">
        <f t="shared" si="88"/>
        <v>0</v>
      </c>
      <c r="R160" s="23">
        <v>0</v>
      </c>
      <c r="S160" s="24">
        <f t="shared" si="89"/>
        <v>0</v>
      </c>
      <c r="U160" s="23"/>
      <c r="V160" s="24">
        <f t="shared" si="90"/>
        <v>0</v>
      </c>
      <c r="X160" s="23">
        <v>0</v>
      </c>
      <c r="Y160" s="24">
        <f t="shared" si="91"/>
        <v>0</v>
      </c>
      <c r="AA160" s="23"/>
      <c r="AB160" s="24">
        <f t="shared" si="92"/>
        <v>0</v>
      </c>
      <c r="AD160" s="73"/>
      <c r="AE160" s="29"/>
      <c r="AF160" s="26"/>
    </row>
    <row r="161" spans="1:32" s="70" customFormat="1" outlineLevel="1">
      <c r="A161" s="68" t="str">
        <f>A149</f>
        <v>4.1</v>
      </c>
      <c r="B161" s="69">
        <v>11</v>
      </c>
      <c r="C161" s="89" t="s">
        <v>118</v>
      </c>
      <c r="F161" s="18">
        <f t="shared" si="85"/>
        <v>0</v>
      </c>
      <c r="G161" s="19">
        <f t="shared" si="86"/>
        <v>0</v>
      </c>
      <c r="I161" s="23"/>
      <c r="J161" s="24">
        <f t="shared" si="84"/>
        <v>0</v>
      </c>
      <c r="L161" s="23">
        <v>0</v>
      </c>
      <c r="M161" s="24">
        <f t="shared" si="87"/>
        <v>0</v>
      </c>
      <c r="O161" s="23">
        <v>0</v>
      </c>
      <c r="P161" s="24">
        <f t="shared" si="88"/>
        <v>0</v>
      </c>
      <c r="R161" s="23">
        <v>0</v>
      </c>
      <c r="S161" s="24">
        <f t="shared" si="89"/>
        <v>0</v>
      </c>
      <c r="U161" s="23"/>
      <c r="V161" s="24">
        <f t="shared" si="90"/>
        <v>0</v>
      </c>
      <c r="X161" s="23">
        <v>0</v>
      </c>
      <c r="Y161" s="24">
        <f t="shared" si="91"/>
        <v>0</v>
      </c>
      <c r="AA161" s="23"/>
      <c r="AB161" s="24">
        <f t="shared" si="92"/>
        <v>0</v>
      </c>
      <c r="AD161" s="73"/>
      <c r="AE161" s="29"/>
      <c r="AF161" s="26"/>
    </row>
    <row r="162" spans="1:32" s="70" customFormat="1" outlineLevel="1">
      <c r="A162" s="68" t="str">
        <f>A149</f>
        <v>4.1</v>
      </c>
      <c r="B162" s="69">
        <v>12</v>
      </c>
      <c r="C162" s="89" t="s">
        <v>119</v>
      </c>
      <c r="F162" s="18">
        <f t="shared" si="85"/>
        <v>0</v>
      </c>
      <c r="G162" s="19">
        <f t="shared" si="86"/>
        <v>0</v>
      </c>
      <c r="I162" s="23"/>
      <c r="J162" s="24">
        <f t="shared" si="84"/>
        <v>0</v>
      </c>
      <c r="L162" s="23">
        <v>0</v>
      </c>
      <c r="M162" s="24">
        <f t="shared" si="87"/>
        <v>0</v>
      </c>
      <c r="O162" s="23">
        <v>0</v>
      </c>
      <c r="P162" s="24">
        <f t="shared" si="88"/>
        <v>0</v>
      </c>
      <c r="R162" s="23">
        <v>0</v>
      </c>
      <c r="S162" s="24">
        <f t="shared" si="89"/>
        <v>0</v>
      </c>
      <c r="U162" s="23"/>
      <c r="V162" s="24">
        <f t="shared" si="90"/>
        <v>0</v>
      </c>
      <c r="X162" s="23">
        <v>0</v>
      </c>
      <c r="Y162" s="24">
        <f t="shared" si="91"/>
        <v>0</v>
      </c>
      <c r="AA162" s="23"/>
      <c r="AB162" s="24">
        <f t="shared" si="92"/>
        <v>0</v>
      </c>
      <c r="AD162" s="73"/>
      <c r="AE162" s="29"/>
      <c r="AF162" s="26"/>
    </row>
    <row r="163" spans="1:32" s="70" customFormat="1" outlineLevel="1">
      <c r="A163" s="68" t="str">
        <f>A149</f>
        <v>4.1</v>
      </c>
      <c r="B163" s="69">
        <v>13</v>
      </c>
      <c r="C163" s="89" t="s">
        <v>120</v>
      </c>
      <c r="F163" s="18">
        <f t="shared" si="85"/>
        <v>0</v>
      </c>
      <c r="G163" s="19">
        <f t="shared" si="86"/>
        <v>0</v>
      </c>
      <c r="I163" s="23"/>
      <c r="J163" s="24">
        <f t="shared" si="84"/>
        <v>0</v>
      </c>
      <c r="L163" s="23">
        <v>0</v>
      </c>
      <c r="M163" s="24">
        <f t="shared" si="87"/>
        <v>0</v>
      </c>
      <c r="O163" s="23">
        <v>0</v>
      </c>
      <c r="P163" s="24">
        <f t="shared" si="88"/>
        <v>0</v>
      </c>
      <c r="R163" s="23">
        <v>0</v>
      </c>
      <c r="S163" s="24">
        <f t="shared" si="89"/>
        <v>0</v>
      </c>
      <c r="U163" s="23"/>
      <c r="V163" s="24">
        <f t="shared" si="90"/>
        <v>0</v>
      </c>
      <c r="X163" s="23">
        <v>0</v>
      </c>
      <c r="Y163" s="24">
        <f t="shared" si="91"/>
        <v>0</v>
      </c>
      <c r="AA163" s="23"/>
      <c r="AB163" s="24">
        <f t="shared" si="92"/>
        <v>0</v>
      </c>
      <c r="AD163" s="73"/>
      <c r="AE163" s="29"/>
      <c r="AF163" s="26"/>
    </row>
    <row r="164" spans="1:32" s="70" customFormat="1" outlineLevel="1">
      <c r="A164" s="68" t="str">
        <f>A149</f>
        <v>4.1</v>
      </c>
      <c r="B164" s="69">
        <v>14</v>
      </c>
      <c r="F164" s="18">
        <f t="shared" si="85"/>
        <v>0</v>
      </c>
      <c r="G164" s="19">
        <f t="shared" si="86"/>
        <v>0</v>
      </c>
      <c r="I164" s="23"/>
      <c r="J164" s="24">
        <f t="shared" si="84"/>
        <v>0</v>
      </c>
      <c r="L164" s="23">
        <v>0</v>
      </c>
      <c r="M164" s="24">
        <f t="shared" si="87"/>
        <v>0</v>
      </c>
      <c r="O164" s="23">
        <v>0</v>
      </c>
      <c r="P164" s="24">
        <f t="shared" si="88"/>
        <v>0</v>
      </c>
      <c r="R164" s="23">
        <v>0</v>
      </c>
      <c r="S164" s="24">
        <f t="shared" si="89"/>
        <v>0</v>
      </c>
      <c r="U164" s="23"/>
      <c r="V164" s="24">
        <f t="shared" si="90"/>
        <v>0</v>
      </c>
      <c r="X164" s="23">
        <v>0</v>
      </c>
      <c r="Y164" s="24">
        <f t="shared" si="91"/>
        <v>0</v>
      </c>
      <c r="AA164" s="23"/>
      <c r="AB164" s="24">
        <f t="shared" si="92"/>
        <v>0</v>
      </c>
      <c r="AD164" s="73"/>
      <c r="AE164" s="29"/>
      <c r="AF164" s="26"/>
    </row>
    <row r="165" spans="1:32" s="66" customFormat="1">
      <c r="A165" s="63" t="str">
        <f>A149</f>
        <v>4.1</v>
      </c>
      <c r="B165" s="64"/>
      <c r="C165" s="65" t="s">
        <v>41</v>
      </c>
      <c r="D165" s="65"/>
      <c r="E165" s="65"/>
      <c r="F165" s="64">
        <f>SUBTOTAL(9,F166:F171)</f>
        <v>0</v>
      </c>
      <c r="G165" s="22">
        <f>SUBTOTAL(9,G166:G171)</f>
        <v>0</v>
      </c>
      <c r="H165" s="64"/>
      <c r="I165" s="64"/>
      <c r="J165" s="27"/>
      <c r="K165" s="64"/>
      <c r="L165" s="64"/>
      <c r="M165" s="27"/>
      <c r="O165" s="64"/>
      <c r="P165" s="27"/>
      <c r="Q165" s="21"/>
      <c r="R165" s="64"/>
      <c r="S165" s="27"/>
      <c r="U165" s="64"/>
      <c r="V165" s="27"/>
      <c r="X165" s="64"/>
      <c r="Y165" s="27"/>
      <c r="Z165" s="21"/>
      <c r="AA165" s="64"/>
      <c r="AB165" s="27"/>
      <c r="AD165" s="67"/>
      <c r="AE165" s="28"/>
      <c r="AF165" s="27">
        <f>SUBTOTAL(9,AF166:AF171)</f>
        <v>0</v>
      </c>
    </row>
    <row r="166" spans="1:32" outlineLevel="1">
      <c r="A166" s="68" t="str">
        <f>A149</f>
        <v>4.1</v>
      </c>
      <c r="B166" s="4">
        <v>15</v>
      </c>
      <c r="C166" s="90" t="s">
        <v>121</v>
      </c>
      <c r="D166" s="1"/>
      <c r="F166" s="18">
        <f t="shared" ref="F166:F171" si="93">I166+L166+O166+R166+U166+X166+AA166</f>
        <v>0</v>
      </c>
      <c r="G166" s="19">
        <f>J166+M166+P166+S166+V166+Y166+AB166+AF166</f>
        <v>0</v>
      </c>
      <c r="I166" s="3"/>
      <c r="J166" s="10"/>
      <c r="L166" s="3"/>
      <c r="M166" s="10"/>
      <c r="O166" s="3"/>
      <c r="P166" s="10"/>
      <c r="R166" s="3"/>
      <c r="S166" s="10"/>
      <c r="U166" s="3"/>
      <c r="V166" s="10"/>
      <c r="X166" s="3"/>
      <c r="Y166" s="10"/>
      <c r="AA166" s="3"/>
      <c r="AB166" s="10"/>
      <c r="AD166" s="75">
        <v>0</v>
      </c>
      <c r="AE166" s="40">
        <v>0</v>
      </c>
      <c r="AF166" s="40">
        <f t="shared" ref="AF166:AF171" si="94">AD166*AE166</f>
        <v>0</v>
      </c>
    </row>
    <row r="167" spans="1:32" outlineLevel="1">
      <c r="A167" s="68" t="str">
        <f>A149</f>
        <v>4.1</v>
      </c>
      <c r="B167" s="4">
        <v>16</v>
      </c>
      <c r="C167" s="90" t="s">
        <v>122</v>
      </c>
      <c r="D167" s="1"/>
      <c r="F167" s="18">
        <f t="shared" si="93"/>
        <v>0</v>
      </c>
      <c r="G167" s="19">
        <f t="shared" ref="G167:G171" si="95">J167+M167+P167+S167+V167+Y167+AB167+AF167</f>
        <v>0</v>
      </c>
      <c r="I167" s="3"/>
      <c r="J167" s="10"/>
      <c r="L167" s="3"/>
      <c r="M167" s="10"/>
      <c r="O167" s="3"/>
      <c r="P167" s="10"/>
      <c r="R167" s="3"/>
      <c r="S167" s="10"/>
      <c r="U167" s="3"/>
      <c r="V167" s="10"/>
      <c r="X167" s="3"/>
      <c r="Y167" s="10"/>
      <c r="AA167" s="3"/>
      <c r="AB167" s="10"/>
      <c r="AD167" s="75"/>
      <c r="AE167" s="40">
        <v>0</v>
      </c>
      <c r="AF167" s="40">
        <f t="shared" si="94"/>
        <v>0</v>
      </c>
    </row>
    <row r="168" spans="1:32" outlineLevel="1">
      <c r="A168" s="68" t="str">
        <f>A149</f>
        <v>4.1</v>
      </c>
      <c r="B168" s="4">
        <v>17</v>
      </c>
      <c r="C168" s="90" t="s">
        <v>123</v>
      </c>
      <c r="D168" s="1"/>
      <c r="F168" s="18">
        <f t="shared" si="93"/>
        <v>0</v>
      </c>
      <c r="G168" s="19">
        <f t="shared" si="95"/>
        <v>0</v>
      </c>
      <c r="I168" s="3"/>
      <c r="J168" s="10"/>
      <c r="L168" s="3"/>
      <c r="M168" s="10"/>
      <c r="O168" s="3"/>
      <c r="P168" s="10"/>
      <c r="R168" s="3"/>
      <c r="S168" s="10"/>
      <c r="U168" s="3"/>
      <c r="V168" s="10"/>
      <c r="X168" s="3"/>
      <c r="Y168" s="10"/>
      <c r="AA168" s="3"/>
      <c r="AB168" s="10"/>
      <c r="AD168" s="75"/>
      <c r="AE168" s="40">
        <v>0</v>
      </c>
      <c r="AF168" s="40">
        <f t="shared" si="94"/>
        <v>0</v>
      </c>
    </row>
    <row r="169" spans="1:32" outlineLevel="1">
      <c r="A169" s="68" t="str">
        <f>A149</f>
        <v>4.1</v>
      </c>
      <c r="B169" s="4">
        <v>18</v>
      </c>
      <c r="C169" s="74"/>
      <c r="D169" s="74"/>
      <c r="F169" s="18">
        <f t="shared" si="93"/>
        <v>0</v>
      </c>
      <c r="G169" s="19">
        <f t="shared" si="95"/>
        <v>0</v>
      </c>
      <c r="I169" s="3"/>
      <c r="J169" s="10"/>
      <c r="L169" s="3"/>
      <c r="M169" s="10"/>
      <c r="O169" s="3"/>
      <c r="P169" s="10"/>
      <c r="R169" s="3"/>
      <c r="S169" s="10"/>
      <c r="U169" s="3"/>
      <c r="V169" s="10"/>
      <c r="X169" s="3"/>
      <c r="Y169" s="10"/>
      <c r="AA169" s="3"/>
      <c r="AB169" s="10"/>
      <c r="AD169" s="75"/>
      <c r="AE169" s="39">
        <v>0</v>
      </c>
      <c r="AF169" s="40">
        <f t="shared" si="94"/>
        <v>0</v>
      </c>
    </row>
    <row r="170" spans="1:32" outlineLevel="1">
      <c r="A170" s="68" t="str">
        <f>A149</f>
        <v>4.1</v>
      </c>
      <c r="B170" s="4">
        <v>19</v>
      </c>
      <c r="F170" s="18">
        <f t="shared" si="93"/>
        <v>0</v>
      </c>
      <c r="G170" s="19">
        <f t="shared" si="95"/>
        <v>0</v>
      </c>
      <c r="I170" s="3"/>
      <c r="J170" s="10"/>
      <c r="L170" s="3"/>
      <c r="M170" s="10"/>
      <c r="O170" s="3"/>
      <c r="P170" s="10"/>
      <c r="R170" s="3"/>
      <c r="S170" s="10"/>
      <c r="U170" s="3"/>
      <c r="V170" s="10"/>
      <c r="X170" s="3"/>
      <c r="Y170" s="10"/>
      <c r="AA170" s="3"/>
      <c r="AB170" s="10"/>
      <c r="AD170" s="75"/>
      <c r="AE170" s="39">
        <v>0</v>
      </c>
      <c r="AF170" s="40">
        <f t="shared" si="94"/>
        <v>0</v>
      </c>
    </row>
    <row r="171" spans="1:32" ht="13.8" outlineLevel="1" thickBot="1">
      <c r="A171" s="68" t="str">
        <f>A149</f>
        <v>4.1</v>
      </c>
      <c r="B171" s="4">
        <v>20</v>
      </c>
      <c r="F171" s="18">
        <f t="shared" si="93"/>
        <v>0</v>
      </c>
      <c r="G171" s="19">
        <f t="shared" si="95"/>
        <v>0</v>
      </c>
      <c r="I171" s="3"/>
      <c r="J171" s="10"/>
      <c r="L171" s="3"/>
      <c r="M171" s="10"/>
      <c r="O171" s="3"/>
      <c r="P171" s="10"/>
      <c r="R171" s="3"/>
      <c r="S171" s="10"/>
      <c r="U171" s="3"/>
      <c r="V171" s="10"/>
      <c r="X171" s="3"/>
      <c r="Y171" s="10"/>
      <c r="AA171" s="3"/>
      <c r="AB171" s="10"/>
      <c r="AD171" s="75"/>
      <c r="AE171" s="39">
        <v>0</v>
      </c>
      <c r="AF171" s="40">
        <f t="shared" si="94"/>
        <v>0</v>
      </c>
    </row>
    <row r="172" spans="1:32" s="61" customFormat="1" ht="14.4" thickTop="1" thickBot="1">
      <c r="A172" s="58" t="s">
        <v>18</v>
      </c>
      <c r="B172" s="59"/>
      <c r="C172" s="60" t="str">
        <f>CONCATENATE("Process Development - Pre-Series/Pilot Series (C-Sample) - ",D2)</f>
        <v>Process Development - Pre-Series/Pilot Series (C-Sample) - PrkzZm</v>
      </c>
      <c r="D172" s="60"/>
      <c r="E172" s="60"/>
      <c r="F172" s="32">
        <f>SUBTOTAL(9,F174:F194)</f>
        <v>0</v>
      </c>
      <c r="G172" s="33">
        <f>SUBTOTAL(9,G174:G194)</f>
        <v>0</v>
      </c>
      <c r="H172" s="59"/>
      <c r="I172" s="59">
        <f>SUBTOTAL(9,I174:I194)</f>
        <v>0</v>
      </c>
      <c r="J172" s="11">
        <f>SUBTOTAL(9,J174:J194)</f>
        <v>0</v>
      </c>
      <c r="K172" s="59"/>
      <c r="L172" s="59">
        <f>SUBTOTAL(9,L174:L194)</f>
        <v>0</v>
      </c>
      <c r="M172" s="11">
        <f>SUBTOTAL(9,M174:M194)</f>
        <v>0</v>
      </c>
      <c r="O172" s="59">
        <f>SUBTOTAL(9,O174:O194)</f>
        <v>0</v>
      </c>
      <c r="P172" s="11">
        <f>SUBTOTAL(9,P174:P194)</f>
        <v>0</v>
      </c>
      <c r="Q172" s="7"/>
      <c r="R172" s="59">
        <f>SUBTOTAL(9,R174:R194)</f>
        <v>0</v>
      </c>
      <c r="S172" s="11">
        <f>SUBTOTAL(9,S174:S194)</f>
        <v>0</v>
      </c>
      <c r="U172" s="59">
        <f>SUBTOTAL(9,U174:U194)</f>
        <v>0</v>
      </c>
      <c r="V172" s="11">
        <f>SUBTOTAL(9,V174:V194)</f>
        <v>0</v>
      </c>
      <c r="X172" s="59">
        <f>SUBTOTAL(9,X174:X194)</f>
        <v>0</v>
      </c>
      <c r="Y172" s="11">
        <f>SUBTOTAL(9,Y174:Y194)</f>
        <v>0</v>
      </c>
      <c r="Z172" s="7"/>
      <c r="AA172" s="59">
        <f>SUBTOTAL(9,AA174:AA194)</f>
        <v>0</v>
      </c>
      <c r="AB172" s="11">
        <f>SUBTOTAL(9,AB174:AB194)</f>
        <v>0</v>
      </c>
      <c r="AD172" s="62"/>
      <c r="AE172" s="38"/>
      <c r="AF172" s="33">
        <f>SUBTOTAL(9,AF174:AF194)</f>
        <v>0</v>
      </c>
    </row>
    <row r="173" spans="1:32" s="66" customFormat="1" ht="13.8" thickTop="1">
      <c r="A173" s="63" t="str">
        <f>A172</f>
        <v>4.2</v>
      </c>
      <c r="B173" s="64"/>
      <c r="C173" s="65" t="s">
        <v>24</v>
      </c>
      <c r="D173" s="65"/>
      <c r="E173" s="65"/>
      <c r="F173" s="64">
        <f>SUBTOTAL(9,F174:F187)</f>
        <v>0</v>
      </c>
      <c r="G173" s="22">
        <f>SUBTOTAL(9,G174:G187)</f>
        <v>0</v>
      </c>
      <c r="H173" s="64"/>
      <c r="I173" s="64">
        <f>SUBTOTAL(9,I174:I187)</f>
        <v>0</v>
      </c>
      <c r="J173" s="22">
        <f>SUBTOTAL(9,J174:J187)</f>
        <v>0</v>
      </c>
      <c r="K173" s="64"/>
      <c r="L173" s="64">
        <f>SUBTOTAL(9,L174:L187)</f>
        <v>0</v>
      </c>
      <c r="M173" s="22">
        <f>SUBTOTAL(9,M174:M187)</f>
        <v>0</v>
      </c>
      <c r="O173" s="64">
        <f>SUBTOTAL(9,O174:O187)</f>
        <v>0</v>
      </c>
      <c r="P173" s="22">
        <f>SUBTOTAL(9,P174:P187)</f>
        <v>0</v>
      </c>
      <c r="Q173" s="21"/>
      <c r="R173" s="64">
        <f>SUBTOTAL(9,R174:R187)</f>
        <v>0</v>
      </c>
      <c r="S173" s="22">
        <f>SUBTOTAL(9,S174:S187)</f>
        <v>0</v>
      </c>
      <c r="U173" s="64">
        <f>SUBTOTAL(9,U174:U187)</f>
        <v>0</v>
      </c>
      <c r="V173" s="22">
        <f>SUBTOTAL(9,V174:V187)</f>
        <v>0</v>
      </c>
      <c r="X173" s="64">
        <f>SUBTOTAL(9,X174:X187)</f>
        <v>0</v>
      </c>
      <c r="Y173" s="22">
        <f>SUBTOTAL(9,Y174:Y187)</f>
        <v>0</v>
      </c>
      <c r="Z173" s="21"/>
      <c r="AA173" s="64">
        <f>SUBTOTAL(9,AA174:AA187)</f>
        <v>0</v>
      </c>
      <c r="AB173" s="22">
        <f>SUBTOTAL(9,AB174:AB187)</f>
        <v>0</v>
      </c>
      <c r="AD173" s="67"/>
      <c r="AE173" s="28"/>
      <c r="AF173" s="27"/>
    </row>
    <row r="174" spans="1:32" s="71" customFormat="1" outlineLevel="1">
      <c r="A174" s="68" t="str">
        <f>A172</f>
        <v>4.2</v>
      </c>
      <c r="B174" s="69">
        <v>1</v>
      </c>
      <c r="C174" s="70" t="s">
        <v>124</v>
      </c>
      <c r="D174" s="70"/>
      <c r="E174" s="70"/>
      <c r="F174" s="18">
        <f>I174+L174+O174+R174+U174+X174+AA174</f>
        <v>0</v>
      </c>
      <c r="G174" s="19">
        <f>J174+M174+P174+S174+V174+Y174+AB174+AF174</f>
        <v>0</v>
      </c>
      <c r="I174" s="23"/>
      <c r="J174" s="24">
        <f t="shared" ref="J174:J187" si="96">I174*J$2</f>
        <v>0</v>
      </c>
      <c r="L174" s="23"/>
      <c r="M174" s="24">
        <f>L174*M$2</f>
        <v>0</v>
      </c>
      <c r="N174" s="72"/>
      <c r="O174" s="23"/>
      <c r="P174" s="24">
        <f>O174*P$2</f>
        <v>0</v>
      </c>
      <c r="Q174" s="25"/>
      <c r="R174" s="23"/>
      <c r="S174" s="24">
        <f>R174*S$2</f>
        <v>0</v>
      </c>
      <c r="T174" s="72"/>
      <c r="U174" s="23"/>
      <c r="V174" s="24">
        <f>U174*V$2</f>
        <v>0</v>
      </c>
      <c r="W174" s="72"/>
      <c r="X174" s="23"/>
      <c r="Y174" s="24">
        <f>X174*Y$2</f>
        <v>0</v>
      </c>
      <c r="Z174" s="25"/>
      <c r="AA174" s="23"/>
      <c r="AB174" s="24">
        <f>AA174*AB$2</f>
        <v>0</v>
      </c>
      <c r="AD174" s="73"/>
      <c r="AE174" s="29"/>
      <c r="AF174" s="26"/>
    </row>
    <row r="175" spans="1:32" s="71" customFormat="1" outlineLevel="1">
      <c r="A175" s="68" t="str">
        <f>A172</f>
        <v>4.2</v>
      </c>
      <c r="B175" s="69">
        <v>2</v>
      </c>
      <c r="C175" s="70" t="s">
        <v>125</v>
      </c>
      <c r="D175" s="70"/>
      <c r="E175" s="70"/>
      <c r="F175" s="18">
        <f t="shared" ref="F175:F187" si="97">I175+L175+O175+R175+U175+X175+AA175</f>
        <v>0</v>
      </c>
      <c r="G175" s="19">
        <f t="shared" ref="G175:G187" si="98">J175+M175+P175+S175+V175+Y175+AB175+AF175</f>
        <v>0</v>
      </c>
      <c r="I175" s="23"/>
      <c r="J175" s="24">
        <f t="shared" si="96"/>
        <v>0</v>
      </c>
      <c r="L175" s="23"/>
      <c r="M175" s="24">
        <f t="shared" ref="M175:M187" si="99">L175*M$2</f>
        <v>0</v>
      </c>
      <c r="N175" s="72"/>
      <c r="O175" s="23"/>
      <c r="P175" s="24">
        <f t="shared" ref="P175:P187" si="100">O175*P$2</f>
        <v>0</v>
      </c>
      <c r="Q175" s="25"/>
      <c r="R175" s="23"/>
      <c r="S175" s="24">
        <f t="shared" ref="S175:S187" si="101">R175*S$2</f>
        <v>0</v>
      </c>
      <c r="T175" s="72"/>
      <c r="U175" s="23"/>
      <c r="V175" s="24">
        <f t="shared" ref="V175:V187" si="102">U175*V$2</f>
        <v>0</v>
      </c>
      <c r="W175" s="72"/>
      <c r="X175" s="23"/>
      <c r="Y175" s="24">
        <f t="shared" ref="Y175:Y187" si="103">X175*Y$2</f>
        <v>0</v>
      </c>
      <c r="Z175" s="25"/>
      <c r="AA175" s="23"/>
      <c r="AB175" s="24">
        <f t="shared" ref="AB175:AB187" si="104">AA175*AB$2</f>
        <v>0</v>
      </c>
      <c r="AD175" s="73"/>
      <c r="AE175" s="29"/>
      <c r="AF175" s="26"/>
    </row>
    <row r="176" spans="1:32" s="71" customFormat="1" outlineLevel="1">
      <c r="A176" s="68" t="str">
        <f>A172</f>
        <v>4.2</v>
      </c>
      <c r="B176" s="69">
        <v>3</v>
      </c>
      <c r="C176" s="70" t="s">
        <v>126</v>
      </c>
      <c r="D176" s="70"/>
      <c r="E176" s="70"/>
      <c r="F176" s="18">
        <f t="shared" si="97"/>
        <v>0</v>
      </c>
      <c r="G176" s="19">
        <f t="shared" si="98"/>
        <v>0</v>
      </c>
      <c r="I176" s="23"/>
      <c r="J176" s="24">
        <f t="shared" si="96"/>
        <v>0</v>
      </c>
      <c r="L176" s="23"/>
      <c r="M176" s="24">
        <f t="shared" si="99"/>
        <v>0</v>
      </c>
      <c r="N176" s="72"/>
      <c r="O176" s="23"/>
      <c r="P176" s="24">
        <f t="shared" si="100"/>
        <v>0</v>
      </c>
      <c r="Q176" s="25"/>
      <c r="R176" s="23"/>
      <c r="S176" s="24">
        <f t="shared" si="101"/>
        <v>0</v>
      </c>
      <c r="T176" s="72"/>
      <c r="U176" s="23"/>
      <c r="V176" s="24">
        <f t="shared" si="102"/>
        <v>0</v>
      </c>
      <c r="W176" s="72"/>
      <c r="X176" s="23"/>
      <c r="Y176" s="24">
        <f t="shared" si="103"/>
        <v>0</v>
      </c>
      <c r="Z176" s="25"/>
      <c r="AA176" s="23"/>
      <c r="AB176" s="24">
        <f t="shared" si="104"/>
        <v>0</v>
      </c>
      <c r="AD176" s="73"/>
      <c r="AE176" s="29"/>
      <c r="AF176" s="26"/>
    </row>
    <row r="177" spans="1:32" s="71" customFormat="1" outlineLevel="1">
      <c r="A177" s="68" t="str">
        <f>A172</f>
        <v>4.2</v>
      </c>
      <c r="B177" s="69">
        <v>4</v>
      </c>
      <c r="C177" s="70" t="s">
        <v>127</v>
      </c>
      <c r="D177" s="70"/>
      <c r="E177" s="70"/>
      <c r="F177" s="18">
        <f t="shared" si="97"/>
        <v>0</v>
      </c>
      <c r="G177" s="19">
        <f t="shared" si="98"/>
        <v>0</v>
      </c>
      <c r="I177" s="23"/>
      <c r="J177" s="24">
        <f t="shared" si="96"/>
        <v>0</v>
      </c>
      <c r="L177" s="23"/>
      <c r="M177" s="24">
        <f t="shared" si="99"/>
        <v>0</v>
      </c>
      <c r="N177" s="72"/>
      <c r="O177" s="23"/>
      <c r="P177" s="24">
        <f t="shared" si="100"/>
        <v>0</v>
      </c>
      <c r="Q177" s="25"/>
      <c r="R177" s="23"/>
      <c r="S177" s="24">
        <f t="shared" si="101"/>
        <v>0</v>
      </c>
      <c r="T177" s="72"/>
      <c r="U177" s="23"/>
      <c r="V177" s="24">
        <f t="shared" si="102"/>
        <v>0</v>
      </c>
      <c r="W177" s="72"/>
      <c r="X177" s="23"/>
      <c r="Y177" s="24">
        <f t="shared" si="103"/>
        <v>0</v>
      </c>
      <c r="Z177" s="25"/>
      <c r="AA177" s="23"/>
      <c r="AB177" s="24">
        <f t="shared" si="104"/>
        <v>0</v>
      </c>
      <c r="AD177" s="73"/>
      <c r="AE177" s="29"/>
      <c r="AF177" s="26"/>
    </row>
    <row r="178" spans="1:32" s="71" customFormat="1" outlineLevel="1">
      <c r="A178" s="68" t="str">
        <f>A172</f>
        <v>4.2</v>
      </c>
      <c r="B178" s="69">
        <v>5</v>
      </c>
      <c r="C178" s="70" t="s">
        <v>128</v>
      </c>
      <c r="D178" s="70"/>
      <c r="E178" s="70"/>
      <c r="F178" s="18">
        <f t="shared" si="97"/>
        <v>0</v>
      </c>
      <c r="G178" s="19">
        <f t="shared" si="98"/>
        <v>0</v>
      </c>
      <c r="I178" s="23"/>
      <c r="J178" s="24">
        <f t="shared" si="96"/>
        <v>0</v>
      </c>
      <c r="L178" s="23"/>
      <c r="M178" s="24">
        <f t="shared" si="99"/>
        <v>0</v>
      </c>
      <c r="N178" s="72"/>
      <c r="O178" s="23"/>
      <c r="P178" s="24">
        <f t="shared" si="100"/>
        <v>0</v>
      </c>
      <c r="Q178" s="25"/>
      <c r="R178" s="23"/>
      <c r="S178" s="24">
        <f t="shared" si="101"/>
        <v>0</v>
      </c>
      <c r="T178" s="72"/>
      <c r="U178" s="23"/>
      <c r="V178" s="24">
        <f t="shared" si="102"/>
        <v>0</v>
      </c>
      <c r="W178" s="72"/>
      <c r="X178" s="23"/>
      <c r="Y178" s="24">
        <f t="shared" si="103"/>
        <v>0</v>
      </c>
      <c r="Z178" s="25"/>
      <c r="AA178" s="23"/>
      <c r="AB178" s="24">
        <f t="shared" si="104"/>
        <v>0</v>
      </c>
      <c r="AD178" s="73"/>
      <c r="AE178" s="29"/>
      <c r="AF178" s="26"/>
    </row>
    <row r="179" spans="1:32" s="71" customFormat="1" outlineLevel="1">
      <c r="A179" s="68" t="str">
        <f>A172</f>
        <v>4.2</v>
      </c>
      <c r="B179" s="69">
        <v>6</v>
      </c>
      <c r="C179" s="71" t="s">
        <v>129</v>
      </c>
      <c r="E179" s="70"/>
      <c r="F179" s="18">
        <f t="shared" si="97"/>
        <v>0</v>
      </c>
      <c r="G179" s="19">
        <f t="shared" si="98"/>
        <v>0</v>
      </c>
      <c r="I179" s="23"/>
      <c r="J179" s="24">
        <f t="shared" si="96"/>
        <v>0</v>
      </c>
      <c r="L179" s="23"/>
      <c r="M179" s="24">
        <f t="shared" si="99"/>
        <v>0</v>
      </c>
      <c r="N179" s="72"/>
      <c r="O179" s="23"/>
      <c r="P179" s="24">
        <f t="shared" si="100"/>
        <v>0</v>
      </c>
      <c r="Q179" s="25"/>
      <c r="R179" s="23"/>
      <c r="S179" s="24">
        <f t="shared" si="101"/>
        <v>0</v>
      </c>
      <c r="T179" s="72"/>
      <c r="U179" s="23"/>
      <c r="V179" s="24">
        <f t="shared" si="102"/>
        <v>0</v>
      </c>
      <c r="W179" s="72"/>
      <c r="X179" s="23"/>
      <c r="Y179" s="24">
        <f t="shared" si="103"/>
        <v>0</v>
      </c>
      <c r="Z179" s="25"/>
      <c r="AA179" s="23"/>
      <c r="AB179" s="24">
        <f t="shared" si="104"/>
        <v>0</v>
      </c>
      <c r="AD179" s="73"/>
      <c r="AE179" s="29"/>
      <c r="AF179" s="26"/>
    </row>
    <row r="180" spans="1:32" s="71" customFormat="1" outlineLevel="1">
      <c r="A180" s="68" t="str">
        <f>A172</f>
        <v>4.2</v>
      </c>
      <c r="B180" s="69">
        <v>7</v>
      </c>
      <c r="C180" s="70" t="s">
        <v>130</v>
      </c>
      <c r="D180" s="70"/>
      <c r="E180" s="70"/>
      <c r="F180" s="18">
        <f t="shared" si="97"/>
        <v>0</v>
      </c>
      <c r="G180" s="19">
        <f t="shared" si="98"/>
        <v>0</v>
      </c>
      <c r="I180" s="23"/>
      <c r="J180" s="24">
        <f t="shared" si="96"/>
        <v>0</v>
      </c>
      <c r="L180" s="23"/>
      <c r="M180" s="24">
        <f t="shared" si="99"/>
        <v>0</v>
      </c>
      <c r="N180" s="72"/>
      <c r="O180" s="23"/>
      <c r="P180" s="24">
        <f t="shared" si="100"/>
        <v>0</v>
      </c>
      <c r="Q180" s="25"/>
      <c r="R180" s="23"/>
      <c r="S180" s="24">
        <f t="shared" si="101"/>
        <v>0</v>
      </c>
      <c r="T180" s="72"/>
      <c r="U180" s="23"/>
      <c r="V180" s="24">
        <f t="shared" si="102"/>
        <v>0</v>
      </c>
      <c r="W180" s="72"/>
      <c r="X180" s="23"/>
      <c r="Y180" s="24">
        <f t="shared" si="103"/>
        <v>0</v>
      </c>
      <c r="Z180" s="25"/>
      <c r="AA180" s="23"/>
      <c r="AB180" s="24">
        <f t="shared" si="104"/>
        <v>0</v>
      </c>
      <c r="AD180" s="73"/>
      <c r="AE180" s="29"/>
      <c r="AF180" s="26"/>
    </row>
    <row r="181" spans="1:32" s="71" customFormat="1" outlineLevel="1">
      <c r="A181" s="68" t="str">
        <f>A172</f>
        <v>4.2</v>
      </c>
      <c r="B181" s="69">
        <v>8</v>
      </c>
      <c r="C181" s="70" t="s">
        <v>131</v>
      </c>
      <c r="D181" s="70"/>
      <c r="E181" s="70"/>
      <c r="F181" s="18">
        <f t="shared" si="97"/>
        <v>0</v>
      </c>
      <c r="G181" s="19">
        <f t="shared" si="98"/>
        <v>0</v>
      </c>
      <c r="I181" s="23"/>
      <c r="J181" s="24">
        <f t="shared" si="96"/>
        <v>0</v>
      </c>
      <c r="L181" s="23"/>
      <c r="M181" s="24">
        <f t="shared" si="99"/>
        <v>0</v>
      </c>
      <c r="N181" s="72"/>
      <c r="O181" s="23"/>
      <c r="P181" s="24">
        <f t="shared" si="100"/>
        <v>0</v>
      </c>
      <c r="Q181" s="25"/>
      <c r="R181" s="23"/>
      <c r="S181" s="24">
        <f t="shared" si="101"/>
        <v>0</v>
      </c>
      <c r="T181" s="72"/>
      <c r="U181" s="23"/>
      <c r="V181" s="24">
        <f t="shared" si="102"/>
        <v>0</v>
      </c>
      <c r="W181" s="72"/>
      <c r="X181" s="23"/>
      <c r="Y181" s="24">
        <f t="shared" si="103"/>
        <v>0</v>
      </c>
      <c r="Z181" s="25"/>
      <c r="AA181" s="23"/>
      <c r="AB181" s="24">
        <f t="shared" si="104"/>
        <v>0</v>
      </c>
      <c r="AD181" s="73"/>
      <c r="AE181" s="29"/>
      <c r="AF181" s="26"/>
    </row>
    <row r="182" spans="1:32" s="70" customFormat="1" outlineLevel="1">
      <c r="A182" s="68" t="str">
        <f>A172</f>
        <v>4.2</v>
      </c>
      <c r="B182" s="69">
        <v>9</v>
      </c>
      <c r="C182" s="70" t="s">
        <v>132</v>
      </c>
      <c r="F182" s="18">
        <f t="shared" si="97"/>
        <v>0</v>
      </c>
      <c r="G182" s="19">
        <f t="shared" si="98"/>
        <v>0</v>
      </c>
      <c r="I182" s="23"/>
      <c r="J182" s="24">
        <f t="shared" si="96"/>
        <v>0</v>
      </c>
      <c r="L182" s="23"/>
      <c r="M182" s="24">
        <f t="shared" si="99"/>
        <v>0</v>
      </c>
      <c r="O182" s="23"/>
      <c r="P182" s="24">
        <f t="shared" si="100"/>
        <v>0</v>
      </c>
      <c r="R182" s="23"/>
      <c r="S182" s="24">
        <f t="shared" si="101"/>
        <v>0</v>
      </c>
      <c r="U182" s="23"/>
      <c r="V182" s="24">
        <f t="shared" si="102"/>
        <v>0</v>
      </c>
      <c r="X182" s="23"/>
      <c r="Y182" s="24">
        <f t="shared" si="103"/>
        <v>0</v>
      </c>
      <c r="AA182" s="23"/>
      <c r="AB182" s="24">
        <f t="shared" si="104"/>
        <v>0</v>
      </c>
      <c r="AD182" s="73"/>
      <c r="AE182" s="29"/>
      <c r="AF182" s="26"/>
    </row>
    <row r="183" spans="1:32" s="70" customFormat="1" outlineLevel="1">
      <c r="A183" s="68" t="str">
        <f>A172</f>
        <v>4.2</v>
      </c>
      <c r="B183" s="69">
        <v>10</v>
      </c>
      <c r="C183" s="70" t="s">
        <v>133</v>
      </c>
      <c r="F183" s="18">
        <f t="shared" si="97"/>
        <v>0</v>
      </c>
      <c r="G183" s="19">
        <f t="shared" si="98"/>
        <v>0</v>
      </c>
      <c r="I183" s="23"/>
      <c r="J183" s="24">
        <f t="shared" si="96"/>
        <v>0</v>
      </c>
      <c r="L183" s="23"/>
      <c r="M183" s="24">
        <f t="shared" si="99"/>
        <v>0</v>
      </c>
      <c r="O183" s="23"/>
      <c r="P183" s="24">
        <f t="shared" si="100"/>
        <v>0</v>
      </c>
      <c r="R183" s="23"/>
      <c r="S183" s="24">
        <f t="shared" si="101"/>
        <v>0</v>
      </c>
      <c r="U183" s="23"/>
      <c r="V183" s="24">
        <f t="shared" si="102"/>
        <v>0</v>
      </c>
      <c r="X183" s="23"/>
      <c r="Y183" s="24">
        <f t="shared" si="103"/>
        <v>0</v>
      </c>
      <c r="AA183" s="23"/>
      <c r="AB183" s="24">
        <f t="shared" si="104"/>
        <v>0</v>
      </c>
      <c r="AD183" s="73"/>
      <c r="AE183" s="29"/>
      <c r="AF183" s="26"/>
    </row>
    <row r="184" spans="1:32" s="70" customFormat="1" outlineLevel="1">
      <c r="A184" s="68" t="str">
        <f>A172</f>
        <v>4.2</v>
      </c>
      <c r="B184" s="69">
        <v>11</v>
      </c>
      <c r="C184" s="70" t="s">
        <v>134</v>
      </c>
      <c r="F184" s="18">
        <f t="shared" si="97"/>
        <v>0</v>
      </c>
      <c r="G184" s="19">
        <f t="shared" si="98"/>
        <v>0</v>
      </c>
      <c r="I184" s="23"/>
      <c r="J184" s="24">
        <f t="shared" si="96"/>
        <v>0</v>
      </c>
      <c r="L184" s="23"/>
      <c r="M184" s="24">
        <f t="shared" si="99"/>
        <v>0</v>
      </c>
      <c r="O184" s="23"/>
      <c r="P184" s="24">
        <f t="shared" si="100"/>
        <v>0</v>
      </c>
      <c r="R184" s="23"/>
      <c r="S184" s="24">
        <f t="shared" si="101"/>
        <v>0</v>
      </c>
      <c r="U184" s="23"/>
      <c r="V184" s="24">
        <f t="shared" si="102"/>
        <v>0</v>
      </c>
      <c r="X184" s="23"/>
      <c r="Y184" s="24">
        <f t="shared" si="103"/>
        <v>0</v>
      </c>
      <c r="AA184" s="23"/>
      <c r="AB184" s="24">
        <f t="shared" si="104"/>
        <v>0</v>
      </c>
      <c r="AD184" s="73"/>
      <c r="AE184" s="29"/>
      <c r="AF184" s="26"/>
    </row>
    <row r="185" spans="1:32" s="70" customFormat="1" outlineLevel="1">
      <c r="A185" s="68" t="str">
        <f>A172</f>
        <v>4.2</v>
      </c>
      <c r="B185" s="69">
        <v>12</v>
      </c>
      <c r="C185" s="70" t="s">
        <v>135</v>
      </c>
      <c r="F185" s="18">
        <f t="shared" si="97"/>
        <v>0</v>
      </c>
      <c r="G185" s="19">
        <f t="shared" si="98"/>
        <v>0</v>
      </c>
      <c r="I185" s="23"/>
      <c r="J185" s="24">
        <f t="shared" si="96"/>
        <v>0</v>
      </c>
      <c r="L185" s="23"/>
      <c r="M185" s="24">
        <f t="shared" si="99"/>
        <v>0</v>
      </c>
      <c r="O185" s="23"/>
      <c r="P185" s="24">
        <f t="shared" si="100"/>
        <v>0</v>
      </c>
      <c r="R185" s="23"/>
      <c r="S185" s="24">
        <f t="shared" si="101"/>
        <v>0</v>
      </c>
      <c r="U185" s="23"/>
      <c r="V185" s="24">
        <f t="shared" si="102"/>
        <v>0</v>
      </c>
      <c r="X185" s="23"/>
      <c r="Y185" s="24">
        <f t="shared" si="103"/>
        <v>0</v>
      </c>
      <c r="AA185" s="23"/>
      <c r="AB185" s="24">
        <f t="shared" si="104"/>
        <v>0</v>
      </c>
      <c r="AD185" s="73"/>
      <c r="AE185" s="29"/>
      <c r="AF185" s="26"/>
    </row>
    <row r="186" spans="1:32" s="70" customFormat="1" outlineLevel="1">
      <c r="A186" s="68" t="str">
        <f>A172</f>
        <v>4.2</v>
      </c>
      <c r="B186" s="69">
        <v>13</v>
      </c>
      <c r="C186" s="70" t="s">
        <v>136</v>
      </c>
      <c r="F186" s="18">
        <f t="shared" si="97"/>
        <v>0</v>
      </c>
      <c r="G186" s="19">
        <f t="shared" si="98"/>
        <v>0</v>
      </c>
      <c r="I186" s="23"/>
      <c r="J186" s="24">
        <f t="shared" si="96"/>
        <v>0</v>
      </c>
      <c r="L186" s="23"/>
      <c r="M186" s="24">
        <f t="shared" si="99"/>
        <v>0</v>
      </c>
      <c r="O186" s="23"/>
      <c r="P186" s="24">
        <f t="shared" si="100"/>
        <v>0</v>
      </c>
      <c r="R186" s="23"/>
      <c r="S186" s="24">
        <f t="shared" si="101"/>
        <v>0</v>
      </c>
      <c r="U186" s="23"/>
      <c r="V186" s="24">
        <f t="shared" si="102"/>
        <v>0</v>
      </c>
      <c r="X186" s="23"/>
      <c r="Y186" s="24">
        <f t="shared" si="103"/>
        <v>0</v>
      </c>
      <c r="AA186" s="23"/>
      <c r="AB186" s="24">
        <f t="shared" si="104"/>
        <v>0</v>
      </c>
      <c r="AD186" s="73"/>
      <c r="AE186" s="29"/>
      <c r="AF186" s="26"/>
    </row>
    <row r="187" spans="1:32" s="70" customFormat="1" outlineLevel="1">
      <c r="A187" s="68" t="str">
        <f>A172</f>
        <v>4.2</v>
      </c>
      <c r="B187" s="69">
        <v>14</v>
      </c>
      <c r="C187" s="70" t="s">
        <v>137</v>
      </c>
      <c r="F187" s="18">
        <f t="shared" si="97"/>
        <v>0</v>
      </c>
      <c r="G187" s="19">
        <f t="shared" si="98"/>
        <v>0</v>
      </c>
      <c r="I187" s="23"/>
      <c r="J187" s="24">
        <f t="shared" si="96"/>
        <v>0</v>
      </c>
      <c r="L187" s="23"/>
      <c r="M187" s="24">
        <f t="shared" si="99"/>
        <v>0</v>
      </c>
      <c r="O187" s="23"/>
      <c r="P187" s="24">
        <f t="shared" si="100"/>
        <v>0</v>
      </c>
      <c r="R187" s="23"/>
      <c r="S187" s="24">
        <f t="shared" si="101"/>
        <v>0</v>
      </c>
      <c r="U187" s="23"/>
      <c r="V187" s="24">
        <f t="shared" si="102"/>
        <v>0</v>
      </c>
      <c r="X187" s="23"/>
      <c r="Y187" s="24">
        <f t="shared" si="103"/>
        <v>0</v>
      </c>
      <c r="AA187" s="23"/>
      <c r="AB187" s="24">
        <f t="shared" si="104"/>
        <v>0</v>
      </c>
      <c r="AD187" s="73"/>
      <c r="AE187" s="29"/>
      <c r="AF187" s="26"/>
    </row>
    <row r="188" spans="1:32" s="66" customFormat="1">
      <c r="A188" s="63" t="str">
        <f>A172</f>
        <v>4.2</v>
      </c>
      <c r="B188" s="64"/>
      <c r="C188" s="65" t="s">
        <v>41</v>
      </c>
      <c r="D188" s="65"/>
      <c r="E188" s="65"/>
      <c r="F188" s="64">
        <f>SUBTOTAL(9,F189:F194)</f>
        <v>0</v>
      </c>
      <c r="G188" s="22">
        <f>SUBTOTAL(9,G189:G194)</f>
        <v>0</v>
      </c>
      <c r="H188" s="64"/>
      <c r="I188" s="64"/>
      <c r="J188" s="27"/>
      <c r="K188" s="64"/>
      <c r="L188" s="64"/>
      <c r="M188" s="27"/>
      <c r="O188" s="64"/>
      <c r="P188" s="27"/>
      <c r="Q188" s="21"/>
      <c r="R188" s="64"/>
      <c r="S188" s="27"/>
      <c r="U188" s="64"/>
      <c r="V188" s="27"/>
      <c r="X188" s="64"/>
      <c r="Y188" s="27"/>
      <c r="Z188" s="21"/>
      <c r="AA188" s="64"/>
      <c r="AB188" s="27"/>
      <c r="AD188" s="67"/>
      <c r="AE188" s="28"/>
      <c r="AF188" s="27">
        <f>SUBTOTAL(9,AF189:AF194)</f>
        <v>0</v>
      </c>
    </row>
    <row r="189" spans="1:32" outlineLevel="1">
      <c r="A189" s="68" t="str">
        <f>A172</f>
        <v>4.2</v>
      </c>
      <c r="B189" s="4">
        <v>15</v>
      </c>
      <c r="C189" s="1" t="s">
        <v>138</v>
      </c>
      <c r="D189" s="1"/>
      <c r="F189" s="18">
        <f t="shared" ref="F189:F194" si="105">I189+L189+O189+R189+U189+X189+AA189</f>
        <v>0</v>
      </c>
      <c r="G189" s="19">
        <f>J189+M189+P189+S189+V189+Y189+AB189+AF189</f>
        <v>0</v>
      </c>
      <c r="I189" s="3"/>
      <c r="J189" s="10"/>
      <c r="L189" s="3"/>
      <c r="M189" s="10"/>
      <c r="O189" s="3"/>
      <c r="P189" s="10"/>
      <c r="R189" s="3"/>
      <c r="S189" s="10"/>
      <c r="U189" s="3"/>
      <c r="V189" s="10"/>
      <c r="X189" s="3"/>
      <c r="Y189" s="10"/>
      <c r="AA189" s="3"/>
      <c r="AB189" s="10"/>
      <c r="AD189" s="75"/>
      <c r="AE189" s="39">
        <v>0</v>
      </c>
      <c r="AF189" s="40">
        <f t="shared" ref="AF189:AF194" si="106">AD189*AE189</f>
        <v>0</v>
      </c>
    </row>
    <row r="190" spans="1:32" outlineLevel="1">
      <c r="A190" s="68" t="str">
        <f>A172</f>
        <v>4.2</v>
      </c>
      <c r="B190" s="4">
        <v>16</v>
      </c>
      <c r="C190" s="1" t="s">
        <v>139</v>
      </c>
      <c r="D190" s="1"/>
      <c r="F190" s="18">
        <f t="shared" si="105"/>
        <v>0</v>
      </c>
      <c r="G190" s="19">
        <f t="shared" ref="G190:G194" si="107">J190+M190+P190+S190+V190+Y190+AB190+AF190</f>
        <v>0</v>
      </c>
      <c r="I190" s="3"/>
      <c r="J190" s="10"/>
      <c r="L190" s="3"/>
      <c r="M190" s="10"/>
      <c r="O190" s="3"/>
      <c r="P190" s="10"/>
      <c r="R190" s="3"/>
      <c r="S190" s="10"/>
      <c r="U190" s="3"/>
      <c r="V190" s="10"/>
      <c r="X190" s="3"/>
      <c r="Y190" s="10"/>
      <c r="AA190" s="3"/>
      <c r="AB190" s="10"/>
      <c r="AD190" s="75"/>
      <c r="AE190" s="39">
        <v>0</v>
      </c>
      <c r="AF190" s="40">
        <f t="shared" si="106"/>
        <v>0</v>
      </c>
    </row>
    <row r="191" spans="1:32" outlineLevel="1">
      <c r="A191" s="68" t="str">
        <f>A172</f>
        <v>4.2</v>
      </c>
      <c r="B191" s="4">
        <v>17</v>
      </c>
      <c r="C191" s="1"/>
      <c r="D191" s="1"/>
      <c r="F191" s="18">
        <f t="shared" si="105"/>
        <v>0</v>
      </c>
      <c r="G191" s="19">
        <f t="shared" si="107"/>
        <v>0</v>
      </c>
      <c r="I191" s="3"/>
      <c r="J191" s="10"/>
      <c r="L191" s="3"/>
      <c r="M191" s="10"/>
      <c r="O191" s="3"/>
      <c r="P191" s="10"/>
      <c r="R191" s="3"/>
      <c r="S191" s="10"/>
      <c r="U191" s="3"/>
      <c r="V191" s="10"/>
      <c r="X191" s="3"/>
      <c r="Y191" s="10"/>
      <c r="AA191" s="3"/>
      <c r="AB191" s="10"/>
      <c r="AD191" s="75"/>
      <c r="AE191" s="39">
        <v>0</v>
      </c>
      <c r="AF191" s="40">
        <f t="shared" si="106"/>
        <v>0</v>
      </c>
    </row>
    <row r="192" spans="1:32" outlineLevel="1">
      <c r="A192" s="68" t="str">
        <f>A172</f>
        <v>4.2</v>
      </c>
      <c r="B192" s="4">
        <v>18</v>
      </c>
      <c r="F192" s="18">
        <f t="shared" si="105"/>
        <v>0</v>
      </c>
      <c r="G192" s="19">
        <f t="shared" si="107"/>
        <v>0</v>
      </c>
      <c r="I192" s="3"/>
      <c r="J192" s="10"/>
      <c r="L192" s="3"/>
      <c r="M192" s="10"/>
      <c r="O192" s="3"/>
      <c r="P192" s="10"/>
      <c r="R192" s="3"/>
      <c r="S192" s="10"/>
      <c r="U192" s="3"/>
      <c r="V192" s="10"/>
      <c r="X192" s="3"/>
      <c r="Y192" s="10"/>
      <c r="AA192" s="3"/>
      <c r="AB192" s="10"/>
      <c r="AD192" s="75"/>
      <c r="AE192" s="39">
        <v>0</v>
      </c>
      <c r="AF192" s="40">
        <f t="shared" si="106"/>
        <v>0</v>
      </c>
    </row>
    <row r="193" spans="1:32" outlineLevel="1">
      <c r="A193" s="68" t="str">
        <f>A172</f>
        <v>4.2</v>
      </c>
      <c r="B193" s="4">
        <v>19</v>
      </c>
      <c r="F193" s="18">
        <f t="shared" si="105"/>
        <v>0</v>
      </c>
      <c r="G193" s="19">
        <f t="shared" si="107"/>
        <v>0</v>
      </c>
      <c r="I193" s="3"/>
      <c r="J193" s="10"/>
      <c r="L193" s="3"/>
      <c r="M193" s="10"/>
      <c r="O193" s="3"/>
      <c r="P193" s="10"/>
      <c r="R193" s="3"/>
      <c r="S193" s="10"/>
      <c r="U193" s="3"/>
      <c r="V193" s="10"/>
      <c r="X193" s="3"/>
      <c r="Y193" s="10"/>
      <c r="AA193" s="3"/>
      <c r="AB193" s="10"/>
      <c r="AD193" s="75"/>
      <c r="AE193" s="39">
        <v>0</v>
      </c>
      <c r="AF193" s="40">
        <f t="shared" si="106"/>
        <v>0</v>
      </c>
    </row>
    <row r="194" spans="1:32" ht="13.8" outlineLevel="1" thickBot="1">
      <c r="A194" s="68" t="str">
        <f>A172</f>
        <v>4.2</v>
      </c>
      <c r="B194" s="4">
        <v>20</v>
      </c>
      <c r="F194" s="18">
        <f t="shared" si="105"/>
        <v>0</v>
      </c>
      <c r="G194" s="19">
        <f t="shared" si="107"/>
        <v>0</v>
      </c>
      <c r="I194" s="3"/>
      <c r="J194" s="10"/>
      <c r="L194" s="3"/>
      <c r="M194" s="10"/>
      <c r="O194" s="3"/>
      <c r="P194" s="10"/>
      <c r="R194" s="3"/>
      <c r="S194" s="10"/>
      <c r="U194" s="3"/>
      <c r="V194" s="10"/>
      <c r="X194" s="3"/>
      <c r="Y194" s="10"/>
      <c r="AA194" s="3"/>
      <c r="AB194" s="10"/>
      <c r="AD194" s="75"/>
      <c r="AE194" s="39">
        <v>0</v>
      </c>
      <c r="AF194" s="40">
        <f t="shared" si="106"/>
        <v>0</v>
      </c>
    </row>
    <row r="195" spans="1:32" s="61" customFormat="1" ht="14.4" thickTop="1" thickBot="1">
      <c r="A195" s="58">
        <v>5</v>
      </c>
      <c r="B195" s="59"/>
      <c r="C195" s="60" t="str">
        <f>CONCATENATE("Ramp Up (0-Series) - ",D2)</f>
        <v>Ramp Up (0-Series) - PrkzZm</v>
      </c>
      <c r="D195" s="60"/>
      <c r="E195" s="60"/>
      <c r="F195" s="32">
        <f>SUBTOTAL(9,F197:F217)</f>
        <v>0</v>
      </c>
      <c r="G195" s="33">
        <f>SUBTOTAL(9,G197:G217)</f>
        <v>0</v>
      </c>
      <c r="H195" s="59"/>
      <c r="I195" s="59">
        <f>SUBTOTAL(9,I197:I217)</f>
        <v>0</v>
      </c>
      <c r="J195" s="11">
        <f>SUBTOTAL(9,J197:J217)</f>
        <v>0</v>
      </c>
      <c r="K195" s="59"/>
      <c r="L195" s="59">
        <f>SUBTOTAL(9,L197:L217)</f>
        <v>0</v>
      </c>
      <c r="M195" s="11">
        <f>SUBTOTAL(9,M197:M217)</f>
        <v>0</v>
      </c>
      <c r="O195" s="59">
        <f>SUBTOTAL(9,O197:O217)</f>
        <v>0</v>
      </c>
      <c r="P195" s="11">
        <f>SUBTOTAL(9,P197:P217)</f>
        <v>0</v>
      </c>
      <c r="Q195" s="7"/>
      <c r="R195" s="59">
        <f>SUBTOTAL(9,R197:R217)</f>
        <v>0</v>
      </c>
      <c r="S195" s="11">
        <f>SUBTOTAL(9,S197:S217)</f>
        <v>0</v>
      </c>
      <c r="U195" s="59">
        <f>SUBTOTAL(9,U197:U217)</f>
        <v>0</v>
      </c>
      <c r="V195" s="11">
        <f>SUBTOTAL(9,V197:V217)</f>
        <v>0</v>
      </c>
      <c r="X195" s="59">
        <f>SUBTOTAL(9,X197:X217)</f>
        <v>0</v>
      </c>
      <c r="Y195" s="11">
        <f>SUBTOTAL(9,Y197:Y217)</f>
        <v>0</v>
      </c>
      <c r="Z195" s="7"/>
      <c r="AA195" s="59">
        <f>SUBTOTAL(9,AA197:AA217)</f>
        <v>0</v>
      </c>
      <c r="AB195" s="11">
        <f>SUBTOTAL(9,AB197:AB217)</f>
        <v>0</v>
      </c>
      <c r="AD195" s="62"/>
      <c r="AE195" s="38"/>
      <c r="AF195" s="33">
        <f>SUBTOTAL(9,AF197:AF217)</f>
        <v>0</v>
      </c>
    </row>
    <row r="196" spans="1:32" s="66" customFormat="1" ht="13.8" thickTop="1">
      <c r="A196" s="63">
        <f>A195</f>
        <v>5</v>
      </c>
      <c r="B196" s="64"/>
      <c r="C196" s="65" t="s">
        <v>24</v>
      </c>
      <c r="D196" s="65"/>
      <c r="E196" s="65"/>
      <c r="F196" s="64">
        <f>SUBTOTAL(9,F197:F210)</f>
        <v>0</v>
      </c>
      <c r="G196" s="22">
        <f>SUBTOTAL(9,G197:G210)</f>
        <v>0</v>
      </c>
      <c r="H196" s="64"/>
      <c r="I196" s="64">
        <f>SUBTOTAL(9,I197:I210)</f>
        <v>0</v>
      </c>
      <c r="J196" s="22">
        <f>SUBTOTAL(9,J197:J210)</f>
        <v>0</v>
      </c>
      <c r="K196" s="64"/>
      <c r="L196" s="64">
        <f>SUBTOTAL(9,L197:L210)</f>
        <v>0</v>
      </c>
      <c r="M196" s="22">
        <f>SUBTOTAL(9,M197:M210)</f>
        <v>0</v>
      </c>
      <c r="O196" s="64">
        <f>SUBTOTAL(9,O197:O210)</f>
        <v>0</v>
      </c>
      <c r="P196" s="22">
        <f>SUBTOTAL(9,P197:P210)</f>
        <v>0</v>
      </c>
      <c r="Q196" s="21"/>
      <c r="R196" s="64">
        <f>SUBTOTAL(9,R197:R210)</f>
        <v>0</v>
      </c>
      <c r="S196" s="22">
        <f>SUBTOTAL(9,S197:S210)</f>
        <v>0</v>
      </c>
      <c r="U196" s="64">
        <f>SUBTOTAL(9,U197:U210)</f>
        <v>0</v>
      </c>
      <c r="V196" s="22">
        <f>SUBTOTAL(9,V197:V210)</f>
        <v>0</v>
      </c>
      <c r="X196" s="64">
        <f>SUBTOTAL(9,X197:X210)</f>
        <v>0</v>
      </c>
      <c r="Y196" s="22">
        <f>SUBTOTAL(9,Y197:Y210)</f>
        <v>0</v>
      </c>
      <c r="Z196" s="21"/>
      <c r="AA196" s="64">
        <f>SUBTOTAL(9,AA197:AA210)</f>
        <v>0</v>
      </c>
      <c r="AB196" s="22">
        <f>SUBTOTAL(9,AB197:AB210)</f>
        <v>0</v>
      </c>
      <c r="AD196" s="67"/>
      <c r="AE196" s="28"/>
      <c r="AF196" s="27"/>
    </row>
    <row r="197" spans="1:32" s="71" customFormat="1" outlineLevel="1">
      <c r="A197" s="68">
        <f>A195</f>
        <v>5</v>
      </c>
      <c r="B197" s="69">
        <v>1</v>
      </c>
      <c r="C197" s="70" t="s">
        <v>140</v>
      </c>
      <c r="D197" s="70"/>
      <c r="E197" s="70"/>
      <c r="F197" s="18">
        <f>I197+L197+O197+R197+U197+X197+AA197</f>
        <v>0</v>
      </c>
      <c r="G197" s="19">
        <f>J197+M197+P197+S197+V197+Y197+AB197+AF197</f>
        <v>0</v>
      </c>
      <c r="I197" s="23"/>
      <c r="J197" s="24">
        <f t="shared" ref="J197:J210" si="108">I197*J$2</f>
        <v>0</v>
      </c>
      <c r="L197" s="23"/>
      <c r="M197" s="24">
        <f>L197*M$2</f>
        <v>0</v>
      </c>
      <c r="N197" s="72"/>
      <c r="O197" s="23"/>
      <c r="P197" s="24">
        <f>O197*P$2</f>
        <v>0</v>
      </c>
      <c r="Q197" s="25"/>
      <c r="R197" s="23"/>
      <c r="S197" s="24">
        <f>R197*S$2</f>
        <v>0</v>
      </c>
      <c r="T197" s="72"/>
      <c r="U197" s="23"/>
      <c r="V197" s="24">
        <f>U197*V$2</f>
        <v>0</v>
      </c>
      <c r="W197" s="72"/>
      <c r="X197" s="23"/>
      <c r="Y197" s="24">
        <f>X197*Y$2</f>
        <v>0</v>
      </c>
      <c r="Z197" s="25"/>
      <c r="AA197" s="23"/>
      <c r="AB197" s="24">
        <f>AA197*AB$2</f>
        <v>0</v>
      </c>
      <c r="AD197" s="73"/>
      <c r="AE197" s="29"/>
      <c r="AF197" s="26"/>
    </row>
    <row r="198" spans="1:32" s="71" customFormat="1" outlineLevel="1">
      <c r="A198" s="68">
        <f>A195</f>
        <v>5</v>
      </c>
      <c r="B198" s="69">
        <v>2</v>
      </c>
      <c r="C198" s="70" t="s">
        <v>141</v>
      </c>
      <c r="D198" s="70"/>
      <c r="E198" s="70"/>
      <c r="F198" s="18">
        <f t="shared" ref="F198:F210" si="109">I198+L198+O198+R198+U198+X198+AA198</f>
        <v>0</v>
      </c>
      <c r="G198" s="19">
        <f t="shared" ref="G198:G210" si="110">J198+M198+P198+S198+V198+Y198+AB198+AF198</f>
        <v>0</v>
      </c>
      <c r="I198" s="23"/>
      <c r="J198" s="24">
        <f t="shared" si="108"/>
        <v>0</v>
      </c>
      <c r="L198" s="23"/>
      <c r="M198" s="24">
        <f t="shared" ref="M198:M210" si="111">L198*M$2</f>
        <v>0</v>
      </c>
      <c r="N198" s="72"/>
      <c r="O198" s="23"/>
      <c r="P198" s="24">
        <f t="shared" ref="P198:P210" si="112">O198*P$2</f>
        <v>0</v>
      </c>
      <c r="Q198" s="25"/>
      <c r="R198" s="23"/>
      <c r="S198" s="24">
        <f t="shared" ref="S198:S210" si="113">R198*S$2</f>
        <v>0</v>
      </c>
      <c r="T198" s="72"/>
      <c r="U198" s="23"/>
      <c r="V198" s="24">
        <f t="shared" ref="V198:V210" si="114">U198*V$2</f>
        <v>0</v>
      </c>
      <c r="W198" s="72"/>
      <c r="X198" s="23"/>
      <c r="Y198" s="24">
        <f t="shared" ref="Y198:Y210" si="115">X198*Y$2</f>
        <v>0</v>
      </c>
      <c r="Z198" s="25"/>
      <c r="AA198" s="23"/>
      <c r="AB198" s="24">
        <f t="shared" ref="AB198:AB210" si="116">AA198*AB$2</f>
        <v>0</v>
      </c>
      <c r="AD198" s="73"/>
      <c r="AE198" s="29"/>
      <c r="AF198" s="26"/>
    </row>
    <row r="199" spans="1:32" s="71" customFormat="1" outlineLevel="1">
      <c r="A199" s="68">
        <f>A195</f>
        <v>5</v>
      </c>
      <c r="B199" s="69">
        <v>3</v>
      </c>
      <c r="C199" s="70" t="s">
        <v>142</v>
      </c>
      <c r="D199" s="70"/>
      <c r="E199" s="70"/>
      <c r="F199" s="18">
        <f t="shared" si="109"/>
        <v>0</v>
      </c>
      <c r="G199" s="19">
        <f t="shared" si="110"/>
        <v>0</v>
      </c>
      <c r="I199" s="23"/>
      <c r="J199" s="24">
        <f t="shared" si="108"/>
        <v>0</v>
      </c>
      <c r="L199" s="23"/>
      <c r="M199" s="24">
        <f t="shared" si="111"/>
        <v>0</v>
      </c>
      <c r="N199" s="72"/>
      <c r="O199" s="23"/>
      <c r="P199" s="24">
        <f t="shared" si="112"/>
        <v>0</v>
      </c>
      <c r="Q199" s="25"/>
      <c r="R199" s="23"/>
      <c r="S199" s="24">
        <f t="shared" si="113"/>
        <v>0</v>
      </c>
      <c r="T199" s="72"/>
      <c r="U199" s="23"/>
      <c r="V199" s="24">
        <f t="shared" si="114"/>
        <v>0</v>
      </c>
      <c r="W199" s="72"/>
      <c r="X199" s="23"/>
      <c r="Y199" s="24">
        <f t="shared" si="115"/>
        <v>0</v>
      </c>
      <c r="Z199" s="25"/>
      <c r="AA199" s="23"/>
      <c r="AB199" s="24">
        <f t="shared" si="116"/>
        <v>0</v>
      </c>
      <c r="AD199" s="73"/>
      <c r="AE199" s="29"/>
      <c r="AF199" s="26"/>
    </row>
    <row r="200" spans="1:32" s="71" customFormat="1" outlineLevel="1">
      <c r="A200" s="68">
        <f>A195</f>
        <v>5</v>
      </c>
      <c r="B200" s="69">
        <v>4</v>
      </c>
      <c r="C200" s="70" t="s">
        <v>143</v>
      </c>
      <c r="D200" s="70"/>
      <c r="E200" s="70"/>
      <c r="F200" s="18">
        <f t="shared" si="109"/>
        <v>0</v>
      </c>
      <c r="G200" s="19">
        <f t="shared" si="110"/>
        <v>0</v>
      </c>
      <c r="I200" s="23"/>
      <c r="J200" s="24">
        <f t="shared" si="108"/>
        <v>0</v>
      </c>
      <c r="L200" s="23"/>
      <c r="M200" s="24">
        <f t="shared" si="111"/>
        <v>0</v>
      </c>
      <c r="N200" s="72"/>
      <c r="O200" s="23"/>
      <c r="P200" s="24">
        <f t="shared" si="112"/>
        <v>0</v>
      </c>
      <c r="Q200" s="25"/>
      <c r="R200" s="23"/>
      <c r="S200" s="24">
        <f t="shared" si="113"/>
        <v>0</v>
      </c>
      <c r="T200" s="72"/>
      <c r="U200" s="23"/>
      <c r="V200" s="24">
        <f t="shared" si="114"/>
        <v>0</v>
      </c>
      <c r="W200" s="72"/>
      <c r="X200" s="23"/>
      <c r="Y200" s="24">
        <f t="shared" si="115"/>
        <v>0</v>
      </c>
      <c r="Z200" s="25"/>
      <c r="AA200" s="23"/>
      <c r="AB200" s="24">
        <f t="shared" si="116"/>
        <v>0</v>
      </c>
      <c r="AD200" s="73"/>
      <c r="AE200" s="29"/>
      <c r="AF200" s="26"/>
    </row>
    <row r="201" spans="1:32" s="71" customFormat="1" outlineLevel="1">
      <c r="A201" s="68">
        <f>A195</f>
        <v>5</v>
      </c>
      <c r="B201" s="69">
        <v>5</v>
      </c>
      <c r="C201" s="70"/>
      <c r="D201" s="70"/>
      <c r="E201" s="70"/>
      <c r="F201" s="18">
        <f t="shared" si="109"/>
        <v>0</v>
      </c>
      <c r="G201" s="19">
        <f t="shared" si="110"/>
        <v>0</v>
      </c>
      <c r="I201" s="23"/>
      <c r="J201" s="24">
        <f t="shared" si="108"/>
        <v>0</v>
      </c>
      <c r="L201" s="23"/>
      <c r="M201" s="24">
        <f t="shared" si="111"/>
        <v>0</v>
      </c>
      <c r="N201" s="72"/>
      <c r="O201" s="23"/>
      <c r="P201" s="24">
        <f t="shared" si="112"/>
        <v>0</v>
      </c>
      <c r="Q201" s="25"/>
      <c r="R201" s="23"/>
      <c r="S201" s="24">
        <f t="shared" si="113"/>
        <v>0</v>
      </c>
      <c r="T201" s="72"/>
      <c r="U201" s="23"/>
      <c r="V201" s="24">
        <f t="shared" si="114"/>
        <v>0</v>
      </c>
      <c r="W201" s="72"/>
      <c r="X201" s="23"/>
      <c r="Y201" s="24">
        <f t="shared" si="115"/>
        <v>0</v>
      </c>
      <c r="Z201" s="25"/>
      <c r="AA201" s="23"/>
      <c r="AB201" s="24">
        <f t="shared" si="116"/>
        <v>0</v>
      </c>
      <c r="AD201" s="73"/>
      <c r="AE201" s="29"/>
      <c r="AF201" s="26"/>
    </row>
    <row r="202" spans="1:32" s="71" customFormat="1" outlineLevel="1">
      <c r="A202" s="68">
        <f>A195</f>
        <v>5</v>
      </c>
      <c r="B202" s="69">
        <v>6</v>
      </c>
      <c r="C202" s="70"/>
      <c r="D202" s="70"/>
      <c r="E202" s="70"/>
      <c r="F202" s="18">
        <f t="shared" si="109"/>
        <v>0</v>
      </c>
      <c r="G202" s="19">
        <f t="shared" si="110"/>
        <v>0</v>
      </c>
      <c r="I202" s="23"/>
      <c r="J202" s="24">
        <f t="shared" si="108"/>
        <v>0</v>
      </c>
      <c r="L202" s="23"/>
      <c r="M202" s="24">
        <f t="shared" si="111"/>
        <v>0</v>
      </c>
      <c r="N202" s="72"/>
      <c r="O202" s="23"/>
      <c r="P202" s="24">
        <f t="shared" si="112"/>
        <v>0</v>
      </c>
      <c r="Q202" s="25"/>
      <c r="R202" s="23"/>
      <c r="S202" s="24">
        <f t="shared" si="113"/>
        <v>0</v>
      </c>
      <c r="T202" s="72"/>
      <c r="U202" s="23"/>
      <c r="V202" s="24">
        <f t="shared" si="114"/>
        <v>0</v>
      </c>
      <c r="W202" s="72"/>
      <c r="X202" s="23"/>
      <c r="Y202" s="24">
        <f t="shared" si="115"/>
        <v>0</v>
      </c>
      <c r="Z202" s="25"/>
      <c r="AA202" s="23"/>
      <c r="AB202" s="24">
        <f t="shared" si="116"/>
        <v>0</v>
      </c>
      <c r="AD202" s="73"/>
      <c r="AE202" s="29"/>
      <c r="AF202" s="26"/>
    </row>
    <row r="203" spans="1:32" s="71" customFormat="1" outlineLevel="1">
      <c r="A203" s="68">
        <f>A195</f>
        <v>5</v>
      </c>
      <c r="B203" s="69">
        <v>7</v>
      </c>
      <c r="C203" s="70"/>
      <c r="D203" s="70"/>
      <c r="E203" s="70"/>
      <c r="F203" s="18">
        <f t="shared" si="109"/>
        <v>0</v>
      </c>
      <c r="G203" s="19">
        <f t="shared" si="110"/>
        <v>0</v>
      </c>
      <c r="I203" s="23"/>
      <c r="J203" s="24">
        <f t="shared" si="108"/>
        <v>0</v>
      </c>
      <c r="L203" s="23"/>
      <c r="M203" s="24">
        <f t="shared" si="111"/>
        <v>0</v>
      </c>
      <c r="N203" s="72"/>
      <c r="O203" s="23"/>
      <c r="P203" s="24">
        <f t="shared" si="112"/>
        <v>0</v>
      </c>
      <c r="Q203" s="25"/>
      <c r="R203" s="23"/>
      <c r="S203" s="24">
        <f t="shared" si="113"/>
        <v>0</v>
      </c>
      <c r="T203" s="72"/>
      <c r="U203" s="23"/>
      <c r="V203" s="24">
        <f t="shared" si="114"/>
        <v>0</v>
      </c>
      <c r="W203" s="72"/>
      <c r="X203" s="23"/>
      <c r="Y203" s="24">
        <f t="shared" si="115"/>
        <v>0</v>
      </c>
      <c r="Z203" s="25"/>
      <c r="AA203" s="23"/>
      <c r="AB203" s="24">
        <f t="shared" si="116"/>
        <v>0</v>
      </c>
      <c r="AD203" s="73"/>
      <c r="AE203" s="29"/>
      <c r="AF203" s="26"/>
    </row>
    <row r="204" spans="1:32" s="71" customFormat="1" outlineLevel="1">
      <c r="A204" s="68">
        <f>A195</f>
        <v>5</v>
      </c>
      <c r="B204" s="69">
        <v>8</v>
      </c>
      <c r="C204" s="70"/>
      <c r="D204" s="70"/>
      <c r="E204" s="70"/>
      <c r="F204" s="18">
        <f t="shared" si="109"/>
        <v>0</v>
      </c>
      <c r="G204" s="19">
        <f t="shared" si="110"/>
        <v>0</v>
      </c>
      <c r="I204" s="23"/>
      <c r="J204" s="24">
        <f t="shared" si="108"/>
        <v>0</v>
      </c>
      <c r="L204" s="23"/>
      <c r="M204" s="24">
        <f t="shared" si="111"/>
        <v>0</v>
      </c>
      <c r="N204" s="72"/>
      <c r="O204" s="23"/>
      <c r="P204" s="24">
        <f t="shared" si="112"/>
        <v>0</v>
      </c>
      <c r="Q204" s="25"/>
      <c r="R204" s="23"/>
      <c r="S204" s="24">
        <f t="shared" si="113"/>
        <v>0</v>
      </c>
      <c r="T204" s="72"/>
      <c r="U204" s="23"/>
      <c r="V204" s="24">
        <f t="shared" si="114"/>
        <v>0</v>
      </c>
      <c r="W204" s="72"/>
      <c r="X204" s="23"/>
      <c r="Y204" s="24">
        <f t="shared" si="115"/>
        <v>0</v>
      </c>
      <c r="Z204" s="25"/>
      <c r="AA204" s="23"/>
      <c r="AB204" s="24">
        <f t="shared" si="116"/>
        <v>0</v>
      </c>
      <c r="AD204" s="73"/>
      <c r="AE204" s="29"/>
      <c r="AF204" s="26"/>
    </row>
    <row r="205" spans="1:32" s="70" customFormat="1" outlineLevel="1">
      <c r="A205" s="68">
        <f>A195</f>
        <v>5</v>
      </c>
      <c r="B205" s="69">
        <v>9</v>
      </c>
      <c r="F205" s="18">
        <f t="shared" si="109"/>
        <v>0</v>
      </c>
      <c r="G205" s="19">
        <f t="shared" si="110"/>
        <v>0</v>
      </c>
      <c r="I205" s="23"/>
      <c r="J205" s="24">
        <f t="shared" si="108"/>
        <v>0</v>
      </c>
      <c r="L205" s="23"/>
      <c r="M205" s="24">
        <f t="shared" si="111"/>
        <v>0</v>
      </c>
      <c r="O205" s="23"/>
      <c r="P205" s="24">
        <f t="shared" si="112"/>
        <v>0</v>
      </c>
      <c r="R205" s="23"/>
      <c r="S205" s="24">
        <f t="shared" si="113"/>
        <v>0</v>
      </c>
      <c r="U205" s="23"/>
      <c r="V205" s="24">
        <f t="shared" si="114"/>
        <v>0</v>
      </c>
      <c r="X205" s="23"/>
      <c r="Y205" s="24">
        <f t="shared" si="115"/>
        <v>0</v>
      </c>
      <c r="AA205" s="23"/>
      <c r="AB205" s="24">
        <f t="shared" si="116"/>
        <v>0</v>
      </c>
      <c r="AD205" s="73"/>
      <c r="AE205" s="29"/>
      <c r="AF205" s="26"/>
    </row>
    <row r="206" spans="1:32" s="70" customFormat="1" outlineLevel="1">
      <c r="A206" s="68">
        <f>A195</f>
        <v>5</v>
      </c>
      <c r="B206" s="69">
        <v>10</v>
      </c>
      <c r="F206" s="18">
        <f t="shared" si="109"/>
        <v>0</v>
      </c>
      <c r="G206" s="19">
        <f t="shared" si="110"/>
        <v>0</v>
      </c>
      <c r="I206" s="23"/>
      <c r="J206" s="24">
        <f t="shared" si="108"/>
        <v>0</v>
      </c>
      <c r="L206" s="23"/>
      <c r="M206" s="24">
        <f t="shared" si="111"/>
        <v>0</v>
      </c>
      <c r="O206" s="23"/>
      <c r="P206" s="24">
        <f t="shared" si="112"/>
        <v>0</v>
      </c>
      <c r="R206" s="23"/>
      <c r="S206" s="24">
        <f t="shared" si="113"/>
        <v>0</v>
      </c>
      <c r="U206" s="23"/>
      <c r="V206" s="24">
        <f t="shared" si="114"/>
        <v>0</v>
      </c>
      <c r="X206" s="23"/>
      <c r="Y206" s="24">
        <f t="shared" si="115"/>
        <v>0</v>
      </c>
      <c r="AA206" s="23"/>
      <c r="AB206" s="24">
        <f t="shared" si="116"/>
        <v>0</v>
      </c>
      <c r="AD206" s="73"/>
      <c r="AE206" s="29"/>
      <c r="AF206" s="26"/>
    </row>
    <row r="207" spans="1:32" s="70" customFormat="1" outlineLevel="1">
      <c r="A207" s="68">
        <f>A195</f>
        <v>5</v>
      </c>
      <c r="B207" s="69">
        <v>11</v>
      </c>
      <c r="F207" s="18">
        <f t="shared" si="109"/>
        <v>0</v>
      </c>
      <c r="G207" s="19">
        <f t="shared" si="110"/>
        <v>0</v>
      </c>
      <c r="I207" s="23"/>
      <c r="J207" s="24">
        <f t="shared" si="108"/>
        <v>0</v>
      </c>
      <c r="L207" s="23"/>
      <c r="M207" s="24">
        <f t="shared" si="111"/>
        <v>0</v>
      </c>
      <c r="O207" s="23"/>
      <c r="P207" s="24">
        <f t="shared" si="112"/>
        <v>0</v>
      </c>
      <c r="R207" s="23"/>
      <c r="S207" s="24">
        <f t="shared" si="113"/>
        <v>0</v>
      </c>
      <c r="U207" s="23"/>
      <c r="V207" s="24">
        <f t="shared" si="114"/>
        <v>0</v>
      </c>
      <c r="X207" s="23"/>
      <c r="Y207" s="24">
        <f t="shared" si="115"/>
        <v>0</v>
      </c>
      <c r="AA207" s="23"/>
      <c r="AB207" s="24">
        <f t="shared" si="116"/>
        <v>0</v>
      </c>
      <c r="AD207" s="73"/>
      <c r="AE207" s="29"/>
      <c r="AF207" s="26"/>
    </row>
    <row r="208" spans="1:32" s="70" customFormat="1" outlineLevel="1">
      <c r="A208" s="68">
        <f>A195</f>
        <v>5</v>
      </c>
      <c r="B208" s="69">
        <v>12</v>
      </c>
      <c r="F208" s="18">
        <f t="shared" si="109"/>
        <v>0</v>
      </c>
      <c r="G208" s="19">
        <f t="shared" si="110"/>
        <v>0</v>
      </c>
      <c r="I208" s="23"/>
      <c r="J208" s="24">
        <f t="shared" si="108"/>
        <v>0</v>
      </c>
      <c r="L208" s="23"/>
      <c r="M208" s="24">
        <f t="shared" si="111"/>
        <v>0</v>
      </c>
      <c r="O208" s="23"/>
      <c r="P208" s="24">
        <f t="shared" si="112"/>
        <v>0</v>
      </c>
      <c r="R208" s="23"/>
      <c r="S208" s="24">
        <f t="shared" si="113"/>
        <v>0</v>
      </c>
      <c r="U208" s="23"/>
      <c r="V208" s="24">
        <f t="shared" si="114"/>
        <v>0</v>
      </c>
      <c r="X208" s="23"/>
      <c r="Y208" s="24">
        <f t="shared" si="115"/>
        <v>0</v>
      </c>
      <c r="AA208" s="23"/>
      <c r="AB208" s="24">
        <f t="shared" si="116"/>
        <v>0</v>
      </c>
      <c r="AD208" s="73"/>
      <c r="AE208" s="29"/>
      <c r="AF208" s="26"/>
    </row>
    <row r="209" spans="1:32" s="70" customFormat="1" outlineLevel="1">
      <c r="A209" s="68">
        <f>A195</f>
        <v>5</v>
      </c>
      <c r="B209" s="69">
        <v>13</v>
      </c>
      <c r="F209" s="18">
        <f t="shared" si="109"/>
        <v>0</v>
      </c>
      <c r="G209" s="19">
        <f t="shared" si="110"/>
        <v>0</v>
      </c>
      <c r="I209" s="23"/>
      <c r="J209" s="24">
        <f t="shared" si="108"/>
        <v>0</v>
      </c>
      <c r="L209" s="23"/>
      <c r="M209" s="24">
        <f t="shared" si="111"/>
        <v>0</v>
      </c>
      <c r="O209" s="23"/>
      <c r="P209" s="24">
        <f t="shared" si="112"/>
        <v>0</v>
      </c>
      <c r="R209" s="23"/>
      <c r="S209" s="24">
        <f t="shared" si="113"/>
        <v>0</v>
      </c>
      <c r="U209" s="23"/>
      <c r="V209" s="24">
        <f t="shared" si="114"/>
        <v>0</v>
      </c>
      <c r="X209" s="23"/>
      <c r="Y209" s="24">
        <f t="shared" si="115"/>
        <v>0</v>
      </c>
      <c r="AA209" s="23"/>
      <c r="AB209" s="24">
        <f t="shared" si="116"/>
        <v>0</v>
      </c>
      <c r="AD209" s="73"/>
      <c r="AE209" s="29"/>
      <c r="AF209" s="26"/>
    </row>
    <row r="210" spans="1:32" s="70" customFormat="1" outlineLevel="1">
      <c r="A210" s="68">
        <f>A195</f>
        <v>5</v>
      </c>
      <c r="B210" s="69">
        <v>14</v>
      </c>
      <c r="F210" s="18">
        <f t="shared" si="109"/>
        <v>0</v>
      </c>
      <c r="G210" s="19">
        <f t="shared" si="110"/>
        <v>0</v>
      </c>
      <c r="I210" s="23"/>
      <c r="J210" s="24">
        <f t="shared" si="108"/>
        <v>0</v>
      </c>
      <c r="L210" s="23"/>
      <c r="M210" s="24">
        <f t="shared" si="111"/>
        <v>0</v>
      </c>
      <c r="O210" s="23"/>
      <c r="P210" s="24">
        <f t="shared" si="112"/>
        <v>0</v>
      </c>
      <c r="R210" s="23"/>
      <c r="S210" s="24">
        <f t="shared" si="113"/>
        <v>0</v>
      </c>
      <c r="U210" s="23"/>
      <c r="V210" s="24">
        <f t="shared" si="114"/>
        <v>0</v>
      </c>
      <c r="X210" s="23"/>
      <c r="Y210" s="24">
        <f t="shared" si="115"/>
        <v>0</v>
      </c>
      <c r="AA210" s="23"/>
      <c r="AB210" s="24">
        <f t="shared" si="116"/>
        <v>0</v>
      </c>
      <c r="AD210" s="73"/>
      <c r="AE210" s="29"/>
      <c r="AF210" s="26"/>
    </row>
    <row r="211" spans="1:32" s="66" customFormat="1">
      <c r="A211" s="63">
        <f>A195</f>
        <v>5</v>
      </c>
      <c r="B211" s="64"/>
      <c r="C211" s="65" t="s">
        <v>41</v>
      </c>
      <c r="D211" s="65"/>
      <c r="E211" s="65"/>
      <c r="F211" s="64">
        <f>SUBTOTAL(9,F212:F217)</f>
        <v>0</v>
      </c>
      <c r="G211" s="22">
        <f>SUBTOTAL(9,G212:G217)</f>
        <v>0</v>
      </c>
      <c r="H211" s="64"/>
      <c r="I211" s="64"/>
      <c r="J211" s="27"/>
      <c r="K211" s="64"/>
      <c r="L211" s="64"/>
      <c r="M211" s="27"/>
      <c r="O211" s="64"/>
      <c r="P211" s="27"/>
      <c r="Q211" s="21"/>
      <c r="R211" s="64"/>
      <c r="S211" s="27"/>
      <c r="U211" s="64"/>
      <c r="V211" s="27"/>
      <c r="X211" s="64"/>
      <c r="Y211" s="27"/>
      <c r="Z211" s="21"/>
      <c r="AA211" s="64"/>
      <c r="AB211" s="27"/>
      <c r="AD211" s="67"/>
      <c r="AE211" s="28"/>
      <c r="AF211" s="27">
        <f>SUBTOTAL(9,AF212:AF217)</f>
        <v>0</v>
      </c>
    </row>
    <row r="212" spans="1:32" outlineLevel="1">
      <c r="A212" s="68">
        <f>A195</f>
        <v>5</v>
      </c>
      <c r="B212" s="4">
        <v>15</v>
      </c>
      <c r="F212" s="18">
        <f t="shared" ref="F212:F217" si="117">I212+L212+O212+R212+U212+X212+AA212</f>
        <v>0</v>
      </c>
      <c r="G212" s="19">
        <f>J212+M212+P212+S212+V212+Y212+AB212+AF212</f>
        <v>0</v>
      </c>
      <c r="I212" s="3"/>
      <c r="J212" s="10"/>
      <c r="L212" s="3"/>
      <c r="M212" s="10"/>
      <c r="O212" s="3"/>
      <c r="P212" s="10"/>
      <c r="R212" s="3"/>
      <c r="S212" s="10"/>
      <c r="U212" s="3"/>
      <c r="V212" s="10"/>
      <c r="X212" s="3"/>
      <c r="Y212" s="10"/>
      <c r="AA212" s="3"/>
      <c r="AB212" s="10"/>
      <c r="AD212" s="91"/>
      <c r="AE212" s="92">
        <v>0</v>
      </c>
      <c r="AF212" s="93">
        <f t="shared" ref="AF212:AF217" si="118">AD212*AE212</f>
        <v>0</v>
      </c>
    </row>
    <row r="213" spans="1:32" outlineLevel="1">
      <c r="A213" s="68">
        <f>A195</f>
        <v>5</v>
      </c>
      <c r="B213" s="4">
        <v>16</v>
      </c>
      <c r="F213" s="18">
        <f t="shared" si="117"/>
        <v>0</v>
      </c>
      <c r="G213" s="19">
        <f t="shared" ref="G213:G217" si="119">J213+M213+P213+S213+V213+Y213+AB213+AF213</f>
        <v>0</v>
      </c>
      <c r="I213" s="3"/>
      <c r="J213" s="10"/>
      <c r="L213" s="3"/>
      <c r="M213" s="10"/>
      <c r="O213" s="3"/>
      <c r="P213" s="10"/>
      <c r="R213" s="3"/>
      <c r="S213" s="10"/>
      <c r="U213" s="3"/>
      <c r="V213" s="10"/>
      <c r="X213" s="3"/>
      <c r="Y213" s="10"/>
      <c r="AA213" s="3"/>
      <c r="AB213" s="10"/>
      <c r="AD213" s="91"/>
      <c r="AE213" s="92">
        <v>0</v>
      </c>
      <c r="AF213" s="93">
        <f t="shared" si="118"/>
        <v>0</v>
      </c>
    </row>
    <row r="214" spans="1:32" outlineLevel="1">
      <c r="A214" s="68">
        <f>A195</f>
        <v>5</v>
      </c>
      <c r="B214" s="4">
        <v>17</v>
      </c>
      <c r="F214" s="18">
        <f t="shared" si="117"/>
        <v>0</v>
      </c>
      <c r="G214" s="19">
        <f t="shared" si="119"/>
        <v>0</v>
      </c>
      <c r="I214" s="3"/>
      <c r="J214" s="10"/>
      <c r="L214" s="3"/>
      <c r="M214" s="10"/>
      <c r="O214" s="3"/>
      <c r="P214" s="10"/>
      <c r="R214" s="3"/>
      <c r="S214" s="10"/>
      <c r="U214" s="3"/>
      <c r="V214" s="10"/>
      <c r="X214" s="3"/>
      <c r="Y214" s="10"/>
      <c r="AA214" s="3"/>
      <c r="AB214" s="10"/>
      <c r="AD214" s="91"/>
      <c r="AE214" s="92">
        <v>0</v>
      </c>
      <c r="AF214" s="93">
        <f t="shared" si="118"/>
        <v>0</v>
      </c>
    </row>
    <row r="215" spans="1:32" outlineLevel="1">
      <c r="A215" s="68">
        <f>A195</f>
        <v>5</v>
      </c>
      <c r="B215" s="4">
        <v>18</v>
      </c>
      <c r="F215" s="18">
        <f t="shared" si="117"/>
        <v>0</v>
      </c>
      <c r="G215" s="19">
        <f t="shared" si="119"/>
        <v>0</v>
      </c>
      <c r="I215" s="3"/>
      <c r="J215" s="10"/>
      <c r="L215" s="3"/>
      <c r="M215" s="10"/>
      <c r="O215" s="3"/>
      <c r="P215" s="10"/>
      <c r="R215" s="3"/>
      <c r="S215" s="10"/>
      <c r="U215" s="3"/>
      <c r="V215" s="10"/>
      <c r="X215" s="3"/>
      <c r="Y215" s="10"/>
      <c r="AA215" s="3"/>
      <c r="AB215" s="10"/>
      <c r="AD215" s="91"/>
      <c r="AE215" s="92">
        <v>0</v>
      </c>
      <c r="AF215" s="93">
        <f t="shared" si="118"/>
        <v>0</v>
      </c>
    </row>
    <row r="216" spans="1:32" outlineLevel="1">
      <c r="A216" s="68">
        <f>A195</f>
        <v>5</v>
      </c>
      <c r="B216" s="4">
        <v>19</v>
      </c>
      <c r="F216" s="18">
        <f t="shared" si="117"/>
        <v>0</v>
      </c>
      <c r="G216" s="19">
        <f t="shared" si="119"/>
        <v>0</v>
      </c>
      <c r="I216" s="3"/>
      <c r="J216" s="10"/>
      <c r="L216" s="3"/>
      <c r="M216" s="10"/>
      <c r="O216" s="3"/>
      <c r="P216" s="10"/>
      <c r="R216" s="3"/>
      <c r="S216" s="10"/>
      <c r="U216" s="3"/>
      <c r="V216" s="10"/>
      <c r="X216" s="3"/>
      <c r="Y216" s="10"/>
      <c r="AA216" s="3"/>
      <c r="AB216" s="10"/>
      <c r="AD216" s="91"/>
      <c r="AE216" s="92">
        <v>0</v>
      </c>
      <c r="AF216" s="93">
        <f t="shared" si="118"/>
        <v>0</v>
      </c>
    </row>
    <row r="217" spans="1:32" ht="16.350000000000001" customHeight="1" outlineLevel="1" thickBot="1">
      <c r="A217" s="68">
        <f>A195</f>
        <v>5</v>
      </c>
      <c r="B217" s="4">
        <v>20</v>
      </c>
      <c r="F217" s="18">
        <f t="shared" si="117"/>
        <v>0</v>
      </c>
      <c r="G217" s="19">
        <f t="shared" si="119"/>
        <v>0</v>
      </c>
      <c r="I217" s="3"/>
      <c r="J217" s="10"/>
      <c r="L217" s="3"/>
      <c r="M217" s="10"/>
      <c r="O217" s="3"/>
      <c r="P217" s="10"/>
      <c r="R217" s="3"/>
      <c r="S217" s="10"/>
      <c r="U217" s="3"/>
      <c r="V217" s="10"/>
      <c r="X217" s="3"/>
      <c r="Y217" s="10"/>
      <c r="AA217" s="3"/>
      <c r="AB217" s="10"/>
      <c r="AD217" s="91"/>
      <c r="AE217" s="92">
        <v>0</v>
      </c>
      <c r="AF217" s="93">
        <f t="shared" si="118"/>
        <v>0</v>
      </c>
    </row>
    <row r="218" spans="1:32" s="61" customFormat="1" ht="14.4" thickTop="1" thickBot="1">
      <c r="A218" s="58">
        <v>6</v>
      </c>
      <c r="B218" s="59"/>
      <c r="C218" s="60" t="str">
        <f>CONCATENATE("Additional position (according to agreement) - ",D2)</f>
        <v>Additional position (according to agreement) - PrkzZm</v>
      </c>
      <c r="D218" s="60"/>
      <c r="E218" s="60"/>
      <c r="F218" s="32">
        <f>SUBTOTAL(9,F220:F240)</f>
        <v>0</v>
      </c>
      <c r="G218" s="33">
        <f>SUBTOTAL(9,G220:G240)</f>
        <v>0</v>
      </c>
      <c r="H218" s="59"/>
      <c r="I218" s="59">
        <f>SUBTOTAL(9,I220:I240)</f>
        <v>0</v>
      </c>
      <c r="J218" s="11">
        <f>SUBTOTAL(9,J220:J240)</f>
        <v>0</v>
      </c>
      <c r="K218" s="59"/>
      <c r="L218" s="59">
        <f>SUBTOTAL(9,L220:L240)</f>
        <v>0</v>
      </c>
      <c r="M218" s="11">
        <f>SUBTOTAL(9,M220:M240)</f>
        <v>0</v>
      </c>
      <c r="O218" s="59">
        <f>SUBTOTAL(9,O220:O240)</f>
        <v>0</v>
      </c>
      <c r="P218" s="11">
        <f>SUBTOTAL(9,P220:P240)</f>
        <v>0</v>
      </c>
      <c r="Q218" s="7"/>
      <c r="R218" s="59">
        <f>SUBTOTAL(9,R220:R240)</f>
        <v>0</v>
      </c>
      <c r="S218" s="11">
        <f>SUBTOTAL(9,S220:S240)</f>
        <v>0</v>
      </c>
      <c r="U218" s="59">
        <f>SUBTOTAL(9,U220:U240)</f>
        <v>0</v>
      </c>
      <c r="V218" s="11">
        <f>SUBTOTAL(9,V220:V240)</f>
        <v>0</v>
      </c>
      <c r="X218" s="59">
        <f>SUBTOTAL(9,X220:X240)</f>
        <v>0</v>
      </c>
      <c r="Y218" s="11">
        <f>SUBTOTAL(9,Y220:Y240)</f>
        <v>0</v>
      </c>
      <c r="Z218" s="7"/>
      <c r="AA218" s="59">
        <f>SUBTOTAL(9,AA220:AA240)</f>
        <v>0</v>
      </c>
      <c r="AB218" s="11">
        <f>SUBTOTAL(9,AB220:AB240)</f>
        <v>0</v>
      </c>
      <c r="AD218" s="62"/>
      <c r="AE218" s="38"/>
      <c r="AF218" s="33">
        <f>SUBTOTAL(9,AF220:AF240)</f>
        <v>0</v>
      </c>
    </row>
    <row r="219" spans="1:32" s="66" customFormat="1" ht="13.8" thickTop="1">
      <c r="A219" s="63">
        <f>A218</f>
        <v>6</v>
      </c>
      <c r="B219" s="64"/>
      <c r="C219" s="65" t="s">
        <v>24</v>
      </c>
      <c r="D219" s="65"/>
      <c r="E219" s="65"/>
      <c r="F219" s="64">
        <f>SUBTOTAL(9,F220:F233)</f>
        <v>0</v>
      </c>
      <c r="G219" s="22">
        <f>SUBTOTAL(9,G220:G233)</f>
        <v>0</v>
      </c>
      <c r="H219" s="64"/>
      <c r="I219" s="64">
        <f>SUBTOTAL(9,I220:I233)</f>
        <v>0</v>
      </c>
      <c r="J219" s="22">
        <f>SUBTOTAL(9,J220:J233)</f>
        <v>0</v>
      </c>
      <c r="K219" s="64"/>
      <c r="L219" s="64">
        <f>SUBTOTAL(9,L220:L233)</f>
        <v>0</v>
      </c>
      <c r="M219" s="22">
        <f>SUBTOTAL(9,M220:M233)</f>
        <v>0</v>
      </c>
      <c r="O219" s="64">
        <f>SUBTOTAL(9,O220:O233)</f>
        <v>0</v>
      </c>
      <c r="P219" s="22">
        <f>SUBTOTAL(9,P220:P233)</f>
        <v>0</v>
      </c>
      <c r="Q219" s="21"/>
      <c r="R219" s="64">
        <f>SUBTOTAL(9,R220:R233)</f>
        <v>0</v>
      </c>
      <c r="S219" s="22">
        <f>SUBTOTAL(9,S220:S233)</f>
        <v>0</v>
      </c>
      <c r="U219" s="64">
        <f>SUBTOTAL(9,U220:U233)</f>
        <v>0</v>
      </c>
      <c r="V219" s="22">
        <f>SUBTOTAL(9,V220:V233)</f>
        <v>0</v>
      </c>
      <c r="X219" s="64">
        <f>SUBTOTAL(9,X220:X233)</f>
        <v>0</v>
      </c>
      <c r="Y219" s="22">
        <f>SUBTOTAL(9,Y220:Y233)</f>
        <v>0</v>
      </c>
      <c r="Z219" s="21"/>
      <c r="AA219" s="64">
        <f>SUBTOTAL(9,AA220:AA233)</f>
        <v>0</v>
      </c>
      <c r="AB219" s="22">
        <f>SUBTOTAL(9,AB220:AB233)</f>
        <v>0</v>
      </c>
      <c r="AD219" s="67"/>
      <c r="AE219" s="28"/>
      <c r="AF219" s="27"/>
    </row>
    <row r="220" spans="1:32" s="71" customFormat="1" ht="30" outlineLevel="1">
      <c r="A220" s="68">
        <f>A218</f>
        <v>6</v>
      </c>
      <c r="B220" s="69">
        <v>1</v>
      </c>
      <c r="C220" s="98" t="s">
        <v>146</v>
      </c>
      <c r="D220" s="94"/>
      <c r="E220" s="70"/>
      <c r="F220" s="18">
        <f>I220+L220+O220+R220+U220+X220+AA220</f>
        <v>0</v>
      </c>
      <c r="G220" s="19">
        <f>J220+M220+P220+S220+V220+Y220+AB220+AF220</f>
        <v>0</v>
      </c>
      <c r="I220" s="23"/>
      <c r="J220" s="24">
        <f t="shared" ref="J220:J233" si="120">I220*J$2</f>
        <v>0</v>
      </c>
      <c r="L220" s="23"/>
      <c r="M220" s="24">
        <f>L220*M$2</f>
        <v>0</v>
      </c>
      <c r="N220" s="72"/>
      <c r="O220" s="23"/>
      <c r="P220" s="24">
        <f>O220*P$2</f>
        <v>0</v>
      </c>
      <c r="Q220" s="25"/>
      <c r="R220" s="23"/>
      <c r="S220" s="24">
        <f>R220*S$2</f>
        <v>0</v>
      </c>
      <c r="T220" s="72"/>
      <c r="U220" s="23"/>
      <c r="V220" s="24">
        <f>U220*V$2</f>
        <v>0</v>
      </c>
      <c r="W220" s="72"/>
      <c r="X220" s="23"/>
      <c r="Y220" s="24">
        <f>X220*Y$2</f>
        <v>0</v>
      </c>
      <c r="Z220" s="25"/>
      <c r="AA220" s="23"/>
      <c r="AB220" s="24">
        <f>AA220*AB$2</f>
        <v>0</v>
      </c>
      <c r="AD220" s="73"/>
      <c r="AE220" s="29"/>
      <c r="AF220" s="26"/>
    </row>
    <row r="221" spans="1:32" s="71" customFormat="1" ht="30" outlineLevel="1">
      <c r="A221" s="68">
        <f>A218</f>
        <v>6</v>
      </c>
      <c r="B221" s="69">
        <v>2</v>
      </c>
      <c r="C221" s="98" t="s">
        <v>144</v>
      </c>
      <c r="D221" s="70"/>
      <c r="E221" s="70"/>
      <c r="F221" s="18">
        <f t="shared" ref="F221:F233" si="121">I221+L221+O221+R221+U221+X221+AA221</f>
        <v>0</v>
      </c>
      <c r="G221" s="19">
        <f t="shared" ref="G221:G233" si="122">J221+M221+P221+S221+V221+Y221+AB221+AF221</f>
        <v>0</v>
      </c>
      <c r="I221" s="23"/>
      <c r="J221" s="24">
        <f t="shared" si="120"/>
        <v>0</v>
      </c>
      <c r="L221" s="23"/>
      <c r="M221" s="24">
        <f t="shared" ref="M221:M233" si="123">L221*M$2</f>
        <v>0</v>
      </c>
      <c r="N221" s="72"/>
      <c r="O221" s="23"/>
      <c r="P221" s="24">
        <f t="shared" ref="P221:P233" si="124">O221*P$2</f>
        <v>0</v>
      </c>
      <c r="Q221" s="25"/>
      <c r="R221" s="23"/>
      <c r="S221" s="24">
        <f t="shared" ref="S221:S233" si="125">R221*S$2</f>
        <v>0</v>
      </c>
      <c r="T221" s="72"/>
      <c r="U221" s="23"/>
      <c r="V221" s="24">
        <f t="shared" ref="V221:V233" si="126">U221*V$2</f>
        <v>0</v>
      </c>
      <c r="W221" s="72"/>
      <c r="X221" s="23"/>
      <c r="Y221" s="24">
        <f t="shared" ref="Y221:Y233" si="127">X221*Y$2</f>
        <v>0</v>
      </c>
      <c r="Z221" s="25"/>
      <c r="AA221" s="23"/>
      <c r="AB221" s="24">
        <f t="shared" ref="AB221:AB233" si="128">AA221*AB$2</f>
        <v>0</v>
      </c>
      <c r="AD221" s="73"/>
      <c r="AE221" s="29"/>
      <c r="AF221" s="26"/>
    </row>
    <row r="222" spans="1:32" s="71" customFormat="1" ht="15" outlineLevel="1">
      <c r="A222" s="68">
        <f>A218</f>
        <v>6</v>
      </c>
      <c r="B222" s="69">
        <v>3</v>
      </c>
      <c r="C222" s="98" t="s">
        <v>145</v>
      </c>
      <c r="D222" s="70"/>
      <c r="E222" s="70"/>
      <c r="F222" s="18">
        <f t="shared" si="121"/>
        <v>0</v>
      </c>
      <c r="G222" s="19">
        <f t="shared" si="122"/>
        <v>0</v>
      </c>
      <c r="I222" s="23"/>
      <c r="J222" s="24">
        <f t="shared" si="120"/>
        <v>0</v>
      </c>
      <c r="L222" s="23"/>
      <c r="M222" s="24">
        <f t="shared" si="123"/>
        <v>0</v>
      </c>
      <c r="N222" s="72"/>
      <c r="O222" s="23"/>
      <c r="P222" s="24">
        <f t="shared" si="124"/>
        <v>0</v>
      </c>
      <c r="Q222" s="25"/>
      <c r="R222" s="23"/>
      <c r="S222" s="24">
        <f t="shared" si="125"/>
        <v>0</v>
      </c>
      <c r="T222" s="72"/>
      <c r="U222" s="23"/>
      <c r="V222" s="24">
        <f t="shared" si="126"/>
        <v>0</v>
      </c>
      <c r="W222" s="72"/>
      <c r="X222" s="23"/>
      <c r="Y222" s="24">
        <f t="shared" si="127"/>
        <v>0</v>
      </c>
      <c r="Z222" s="25"/>
      <c r="AA222" s="23"/>
      <c r="AB222" s="24">
        <f t="shared" si="128"/>
        <v>0</v>
      </c>
      <c r="AD222" s="73"/>
      <c r="AE222" s="29"/>
      <c r="AF222" s="26"/>
    </row>
    <row r="223" spans="1:32" s="71" customFormat="1" outlineLevel="1">
      <c r="A223" s="68">
        <f>A218</f>
        <v>6</v>
      </c>
      <c r="B223" s="69">
        <v>4</v>
      </c>
      <c r="C223" s="70"/>
      <c r="D223" s="70"/>
      <c r="E223" s="70"/>
      <c r="F223" s="18">
        <f t="shared" si="121"/>
        <v>0</v>
      </c>
      <c r="G223" s="19">
        <f t="shared" si="122"/>
        <v>0</v>
      </c>
      <c r="I223" s="23"/>
      <c r="J223" s="24">
        <f t="shared" si="120"/>
        <v>0</v>
      </c>
      <c r="L223" s="23"/>
      <c r="M223" s="24">
        <f t="shared" si="123"/>
        <v>0</v>
      </c>
      <c r="N223" s="72"/>
      <c r="O223" s="23"/>
      <c r="P223" s="24">
        <f t="shared" si="124"/>
        <v>0</v>
      </c>
      <c r="Q223" s="25"/>
      <c r="R223" s="23"/>
      <c r="S223" s="24">
        <f t="shared" si="125"/>
        <v>0</v>
      </c>
      <c r="T223" s="72"/>
      <c r="U223" s="23"/>
      <c r="V223" s="24">
        <f t="shared" si="126"/>
        <v>0</v>
      </c>
      <c r="W223" s="72"/>
      <c r="X223" s="23"/>
      <c r="Y223" s="24">
        <f t="shared" si="127"/>
        <v>0</v>
      </c>
      <c r="Z223" s="25"/>
      <c r="AA223" s="23"/>
      <c r="AB223" s="24">
        <f t="shared" si="128"/>
        <v>0</v>
      </c>
      <c r="AD223" s="73"/>
      <c r="AE223" s="29"/>
      <c r="AF223" s="26"/>
    </row>
    <row r="224" spans="1:32" s="71" customFormat="1" outlineLevel="1">
      <c r="A224" s="68">
        <f>A218</f>
        <v>6</v>
      </c>
      <c r="B224" s="69">
        <v>5</v>
      </c>
      <c r="C224" s="70"/>
      <c r="D224" s="70"/>
      <c r="E224" s="70"/>
      <c r="F224" s="18">
        <f t="shared" si="121"/>
        <v>0</v>
      </c>
      <c r="G224" s="19">
        <f t="shared" si="122"/>
        <v>0</v>
      </c>
      <c r="I224" s="23"/>
      <c r="J224" s="24">
        <f t="shared" si="120"/>
        <v>0</v>
      </c>
      <c r="L224" s="23"/>
      <c r="M224" s="24">
        <f t="shared" si="123"/>
        <v>0</v>
      </c>
      <c r="N224" s="72"/>
      <c r="O224" s="23"/>
      <c r="P224" s="24">
        <f t="shared" si="124"/>
        <v>0</v>
      </c>
      <c r="Q224" s="25"/>
      <c r="R224" s="23"/>
      <c r="S224" s="24">
        <f t="shared" si="125"/>
        <v>0</v>
      </c>
      <c r="T224" s="72"/>
      <c r="U224" s="23"/>
      <c r="V224" s="24">
        <f t="shared" si="126"/>
        <v>0</v>
      </c>
      <c r="W224" s="72"/>
      <c r="X224" s="23"/>
      <c r="Y224" s="24">
        <f t="shared" si="127"/>
        <v>0</v>
      </c>
      <c r="Z224" s="25"/>
      <c r="AA224" s="23"/>
      <c r="AB224" s="24">
        <f t="shared" si="128"/>
        <v>0</v>
      </c>
      <c r="AD224" s="73"/>
      <c r="AE224" s="29"/>
      <c r="AF224" s="26"/>
    </row>
    <row r="225" spans="1:32" s="71" customFormat="1" outlineLevel="1">
      <c r="A225" s="68">
        <f>A218</f>
        <v>6</v>
      </c>
      <c r="B225" s="69">
        <v>6</v>
      </c>
      <c r="C225" s="70"/>
      <c r="D225" s="70"/>
      <c r="E225" s="70"/>
      <c r="F225" s="18">
        <f t="shared" si="121"/>
        <v>0</v>
      </c>
      <c r="G225" s="19">
        <f t="shared" si="122"/>
        <v>0</v>
      </c>
      <c r="I225" s="23"/>
      <c r="J225" s="24">
        <f t="shared" si="120"/>
        <v>0</v>
      </c>
      <c r="L225" s="23"/>
      <c r="M225" s="24">
        <f t="shared" si="123"/>
        <v>0</v>
      </c>
      <c r="N225" s="72"/>
      <c r="O225" s="23"/>
      <c r="P225" s="24">
        <f t="shared" si="124"/>
        <v>0</v>
      </c>
      <c r="Q225" s="25"/>
      <c r="R225" s="23"/>
      <c r="S225" s="24">
        <f t="shared" si="125"/>
        <v>0</v>
      </c>
      <c r="T225" s="72"/>
      <c r="U225" s="23"/>
      <c r="V225" s="24">
        <f t="shared" si="126"/>
        <v>0</v>
      </c>
      <c r="W225" s="72"/>
      <c r="X225" s="23"/>
      <c r="Y225" s="24">
        <f t="shared" si="127"/>
        <v>0</v>
      </c>
      <c r="Z225" s="25"/>
      <c r="AA225" s="23"/>
      <c r="AB225" s="24">
        <f t="shared" si="128"/>
        <v>0</v>
      </c>
      <c r="AD225" s="73"/>
      <c r="AE225" s="29"/>
      <c r="AF225" s="26"/>
    </row>
    <row r="226" spans="1:32" s="71" customFormat="1" outlineLevel="1">
      <c r="A226" s="68">
        <f>A218</f>
        <v>6</v>
      </c>
      <c r="B226" s="69">
        <v>7</v>
      </c>
      <c r="C226" s="70"/>
      <c r="D226" s="70"/>
      <c r="E226" s="70"/>
      <c r="F226" s="18">
        <f t="shared" si="121"/>
        <v>0</v>
      </c>
      <c r="G226" s="19">
        <f t="shared" si="122"/>
        <v>0</v>
      </c>
      <c r="I226" s="23"/>
      <c r="J226" s="24">
        <f t="shared" si="120"/>
        <v>0</v>
      </c>
      <c r="L226" s="23"/>
      <c r="M226" s="24">
        <f t="shared" si="123"/>
        <v>0</v>
      </c>
      <c r="N226" s="72"/>
      <c r="O226" s="23"/>
      <c r="P226" s="24">
        <f t="shared" si="124"/>
        <v>0</v>
      </c>
      <c r="Q226" s="25"/>
      <c r="R226" s="23"/>
      <c r="S226" s="24">
        <f t="shared" si="125"/>
        <v>0</v>
      </c>
      <c r="T226" s="72"/>
      <c r="U226" s="23"/>
      <c r="V226" s="24">
        <f t="shared" si="126"/>
        <v>0</v>
      </c>
      <c r="W226" s="72"/>
      <c r="X226" s="23"/>
      <c r="Y226" s="24">
        <f t="shared" si="127"/>
        <v>0</v>
      </c>
      <c r="Z226" s="25"/>
      <c r="AA226" s="23"/>
      <c r="AB226" s="24">
        <f t="shared" si="128"/>
        <v>0</v>
      </c>
      <c r="AD226" s="73"/>
      <c r="AE226" s="29"/>
      <c r="AF226" s="26"/>
    </row>
    <row r="227" spans="1:32" s="71" customFormat="1" outlineLevel="1">
      <c r="A227" s="68">
        <f>A218</f>
        <v>6</v>
      </c>
      <c r="B227" s="69">
        <v>8</v>
      </c>
      <c r="C227" s="70"/>
      <c r="D227" s="70"/>
      <c r="E227" s="70"/>
      <c r="F227" s="18">
        <f t="shared" si="121"/>
        <v>0</v>
      </c>
      <c r="G227" s="19">
        <f t="shared" si="122"/>
        <v>0</v>
      </c>
      <c r="I227" s="23"/>
      <c r="J227" s="24">
        <f t="shared" si="120"/>
        <v>0</v>
      </c>
      <c r="L227" s="23"/>
      <c r="M227" s="24">
        <f t="shared" si="123"/>
        <v>0</v>
      </c>
      <c r="N227" s="72"/>
      <c r="O227" s="23"/>
      <c r="P227" s="24">
        <f t="shared" si="124"/>
        <v>0</v>
      </c>
      <c r="Q227" s="25"/>
      <c r="R227" s="23"/>
      <c r="S227" s="24">
        <f t="shared" si="125"/>
        <v>0</v>
      </c>
      <c r="T227" s="72"/>
      <c r="U227" s="23"/>
      <c r="V227" s="24">
        <f t="shared" si="126"/>
        <v>0</v>
      </c>
      <c r="W227" s="72"/>
      <c r="X227" s="23"/>
      <c r="Y227" s="24">
        <f t="shared" si="127"/>
        <v>0</v>
      </c>
      <c r="Z227" s="25"/>
      <c r="AA227" s="23"/>
      <c r="AB227" s="24">
        <f t="shared" si="128"/>
        <v>0</v>
      </c>
      <c r="AD227" s="73"/>
      <c r="AE227" s="29"/>
      <c r="AF227" s="26"/>
    </row>
    <row r="228" spans="1:32" s="70" customFormat="1" outlineLevel="1">
      <c r="A228" s="68">
        <f>A218</f>
        <v>6</v>
      </c>
      <c r="B228" s="69">
        <v>9</v>
      </c>
      <c r="F228" s="18">
        <f t="shared" si="121"/>
        <v>0</v>
      </c>
      <c r="G228" s="19">
        <f t="shared" si="122"/>
        <v>0</v>
      </c>
      <c r="I228" s="23"/>
      <c r="J228" s="24">
        <f t="shared" si="120"/>
        <v>0</v>
      </c>
      <c r="L228" s="23"/>
      <c r="M228" s="24">
        <f t="shared" si="123"/>
        <v>0</v>
      </c>
      <c r="O228" s="23"/>
      <c r="P228" s="24">
        <f t="shared" si="124"/>
        <v>0</v>
      </c>
      <c r="R228" s="23"/>
      <c r="S228" s="24">
        <f t="shared" si="125"/>
        <v>0</v>
      </c>
      <c r="U228" s="23"/>
      <c r="V228" s="24">
        <f t="shared" si="126"/>
        <v>0</v>
      </c>
      <c r="X228" s="23"/>
      <c r="Y228" s="24">
        <f t="shared" si="127"/>
        <v>0</v>
      </c>
      <c r="AA228" s="23"/>
      <c r="AB228" s="24">
        <f t="shared" si="128"/>
        <v>0</v>
      </c>
      <c r="AD228" s="73"/>
      <c r="AE228" s="29"/>
      <c r="AF228" s="26"/>
    </row>
    <row r="229" spans="1:32" s="70" customFormat="1" outlineLevel="1">
      <c r="A229" s="68">
        <f>A218</f>
        <v>6</v>
      </c>
      <c r="B229" s="69">
        <v>10</v>
      </c>
      <c r="F229" s="18">
        <f t="shared" si="121"/>
        <v>0</v>
      </c>
      <c r="G229" s="19">
        <f t="shared" si="122"/>
        <v>0</v>
      </c>
      <c r="I229" s="23"/>
      <c r="J229" s="24">
        <f t="shared" si="120"/>
        <v>0</v>
      </c>
      <c r="L229" s="23"/>
      <c r="M229" s="24">
        <f t="shared" si="123"/>
        <v>0</v>
      </c>
      <c r="O229" s="23"/>
      <c r="P229" s="24">
        <f t="shared" si="124"/>
        <v>0</v>
      </c>
      <c r="R229" s="23"/>
      <c r="S229" s="24">
        <f t="shared" si="125"/>
        <v>0</v>
      </c>
      <c r="U229" s="23"/>
      <c r="V229" s="24">
        <f t="shared" si="126"/>
        <v>0</v>
      </c>
      <c r="X229" s="23"/>
      <c r="Y229" s="24">
        <f t="shared" si="127"/>
        <v>0</v>
      </c>
      <c r="AA229" s="23"/>
      <c r="AB229" s="24">
        <f t="shared" si="128"/>
        <v>0</v>
      </c>
      <c r="AD229" s="73"/>
      <c r="AE229" s="29"/>
      <c r="AF229" s="26"/>
    </row>
    <row r="230" spans="1:32" s="70" customFormat="1" outlineLevel="1">
      <c r="A230" s="68">
        <f>A218</f>
        <v>6</v>
      </c>
      <c r="B230" s="69">
        <v>11</v>
      </c>
      <c r="F230" s="18">
        <f t="shared" si="121"/>
        <v>0</v>
      </c>
      <c r="G230" s="19">
        <f t="shared" si="122"/>
        <v>0</v>
      </c>
      <c r="I230" s="23"/>
      <c r="J230" s="24">
        <f t="shared" si="120"/>
        <v>0</v>
      </c>
      <c r="L230" s="23"/>
      <c r="M230" s="24">
        <f t="shared" si="123"/>
        <v>0</v>
      </c>
      <c r="O230" s="23"/>
      <c r="P230" s="24">
        <f t="shared" si="124"/>
        <v>0</v>
      </c>
      <c r="R230" s="23"/>
      <c r="S230" s="24">
        <f t="shared" si="125"/>
        <v>0</v>
      </c>
      <c r="U230" s="23"/>
      <c r="V230" s="24">
        <f t="shared" si="126"/>
        <v>0</v>
      </c>
      <c r="X230" s="23"/>
      <c r="Y230" s="24">
        <f t="shared" si="127"/>
        <v>0</v>
      </c>
      <c r="AA230" s="23"/>
      <c r="AB230" s="24">
        <f t="shared" si="128"/>
        <v>0</v>
      </c>
      <c r="AD230" s="73"/>
      <c r="AE230" s="29"/>
      <c r="AF230" s="26"/>
    </row>
    <row r="231" spans="1:32" s="70" customFormat="1" outlineLevel="1">
      <c r="A231" s="68">
        <f>A218</f>
        <v>6</v>
      </c>
      <c r="B231" s="69">
        <v>12</v>
      </c>
      <c r="F231" s="18">
        <f t="shared" si="121"/>
        <v>0</v>
      </c>
      <c r="G231" s="19">
        <f t="shared" si="122"/>
        <v>0</v>
      </c>
      <c r="I231" s="23"/>
      <c r="J231" s="24">
        <f t="shared" si="120"/>
        <v>0</v>
      </c>
      <c r="L231" s="23"/>
      <c r="M231" s="24">
        <f t="shared" si="123"/>
        <v>0</v>
      </c>
      <c r="O231" s="23"/>
      <c r="P231" s="24">
        <f t="shared" si="124"/>
        <v>0</v>
      </c>
      <c r="R231" s="23"/>
      <c r="S231" s="24">
        <f t="shared" si="125"/>
        <v>0</v>
      </c>
      <c r="U231" s="23"/>
      <c r="V231" s="24">
        <f t="shared" si="126"/>
        <v>0</v>
      </c>
      <c r="X231" s="23"/>
      <c r="Y231" s="24">
        <f t="shared" si="127"/>
        <v>0</v>
      </c>
      <c r="AA231" s="23"/>
      <c r="AB231" s="24">
        <f t="shared" si="128"/>
        <v>0</v>
      </c>
      <c r="AD231" s="73"/>
      <c r="AE231" s="29"/>
      <c r="AF231" s="26"/>
    </row>
    <row r="232" spans="1:32" s="70" customFormat="1" outlineLevel="1">
      <c r="A232" s="68">
        <f>A218</f>
        <v>6</v>
      </c>
      <c r="B232" s="69">
        <v>13</v>
      </c>
      <c r="F232" s="18">
        <f t="shared" si="121"/>
        <v>0</v>
      </c>
      <c r="G232" s="19">
        <f t="shared" si="122"/>
        <v>0</v>
      </c>
      <c r="I232" s="23"/>
      <c r="J232" s="24">
        <f t="shared" si="120"/>
        <v>0</v>
      </c>
      <c r="L232" s="23"/>
      <c r="M232" s="24">
        <f t="shared" si="123"/>
        <v>0</v>
      </c>
      <c r="O232" s="23"/>
      <c r="P232" s="24">
        <f t="shared" si="124"/>
        <v>0</v>
      </c>
      <c r="R232" s="23"/>
      <c r="S232" s="24">
        <f t="shared" si="125"/>
        <v>0</v>
      </c>
      <c r="U232" s="23"/>
      <c r="V232" s="24">
        <f t="shared" si="126"/>
        <v>0</v>
      </c>
      <c r="X232" s="23"/>
      <c r="Y232" s="24">
        <f t="shared" si="127"/>
        <v>0</v>
      </c>
      <c r="AA232" s="23"/>
      <c r="AB232" s="24">
        <f t="shared" si="128"/>
        <v>0</v>
      </c>
      <c r="AD232" s="73"/>
      <c r="AE232" s="29"/>
      <c r="AF232" s="26"/>
    </row>
    <row r="233" spans="1:32" s="70" customFormat="1" outlineLevel="1">
      <c r="A233" s="68">
        <f>A218</f>
        <v>6</v>
      </c>
      <c r="B233" s="69">
        <v>14</v>
      </c>
      <c r="F233" s="18">
        <f t="shared" si="121"/>
        <v>0</v>
      </c>
      <c r="G233" s="19">
        <f t="shared" si="122"/>
        <v>0</v>
      </c>
      <c r="I233" s="23"/>
      <c r="J233" s="24">
        <f t="shared" si="120"/>
        <v>0</v>
      </c>
      <c r="L233" s="23"/>
      <c r="M233" s="24">
        <f t="shared" si="123"/>
        <v>0</v>
      </c>
      <c r="O233" s="23"/>
      <c r="P233" s="24">
        <f t="shared" si="124"/>
        <v>0</v>
      </c>
      <c r="R233" s="23"/>
      <c r="S233" s="24">
        <f t="shared" si="125"/>
        <v>0</v>
      </c>
      <c r="U233" s="23"/>
      <c r="V233" s="24">
        <f t="shared" si="126"/>
        <v>0</v>
      </c>
      <c r="X233" s="23"/>
      <c r="Y233" s="24">
        <f t="shared" si="127"/>
        <v>0</v>
      </c>
      <c r="AA233" s="23"/>
      <c r="AB233" s="24">
        <f t="shared" si="128"/>
        <v>0</v>
      </c>
      <c r="AD233" s="73"/>
      <c r="AE233" s="29"/>
      <c r="AF233" s="26"/>
    </row>
    <row r="234" spans="1:32" s="66" customFormat="1">
      <c r="A234" s="63">
        <f>A218</f>
        <v>6</v>
      </c>
      <c r="B234" s="64"/>
      <c r="C234" s="65" t="s">
        <v>41</v>
      </c>
      <c r="D234" s="65"/>
      <c r="E234" s="65"/>
      <c r="F234" s="64">
        <f>SUBTOTAL(9,F235:F240)</f>
        <v>0</v>
      </c>
      <c r="G234" s="22">
        <f>SUBTOTAL(9,G235:G240)</f>
        <v>0</v>
      </c>
      <c r="H234" s="64"/>
      <c r="I234" s="64"/>
      <c r="J234" s="27"/>
      <c r="K234" s="64"/>
      <c r="L234" s="64"/>
      <c r="M234" s="27"/>
      <c r="O234" s="64"/>
      <c r="P234" s="27"/>
      <c r="Q234" s="21"/>
      <c r="R234" s="64"/>
      <c r="S234" s="27"/>
      <c r="U234" s="64"/>
      <c r="V234" s="27"/>
      <c r="X234" s="64"/>
      <c r="Y234" s="27"/>
      <c r="Z234" s="21"/>
      <c r="AA234" s="64"/>
      <c r="AB234" s="27"/>
      <c r="AD234" s="67"/>
      <c r="AE234" s="28"/>
      <c r="AF234" s="27">
        <f>SUBTOTAL(9,AF235:AF240)</f>
        <v>0</v>
      </c>
    </row>
    <row r="235" spans="1:32" outlineLevel="1">
      <c r="A235" s="68">
        <f>A218</f>
        <v>6</v>
      </c>
      <c r="B235" s="4">
        <v>15</v>
      </c>
      <c r="F235" s="18">
        <f t="shared" ref="F235:F240" si="129">I235+L235+O235+R235+U235+X235+AA235</f>
        <v>0</v>
      </c>
      <c r="G235" s="19">
        <f>J235+M235+P235+S235+V235+Y235+AB235+AF235</f>
        <v>0</v>
      </c>
      <c r="I235" s="3"/>
      <c r="J235" s="10"/>
      <c r="L235" s="3"/>
      <c r="M235" s="10"/>
      <c r="O235" s="3"/>
      <c r="P235" s="10"/>
      <c r="R235" s="3"/>
      <c r="S235" s="10"/>
      <c r="U235" s="3"/>
      <c r="V235" s="10"/>
      <c r="X235" s="3"/>
      <c r="Y235" s="10"/>
      <c r="AA235" s="3"/>
      <c r="AB235" s="10"/>
      <c r="AD235" s="91"/>
      <c r="AE235" s="92">
        <v>0</v>
      </c>
      <c r="AF235" s="93">
        <f t="shared" ref="AF235:AF240" si="130">AD235*AE235</f>
        <v>0</v>
      </c>
    </row>
    <row r="236" spans="1:32" outlineLevel="1">
      <c r="A236" s="68">
        <f>A218</f>
        <v>6</v>
      </c>
      <c r="B236" s="4">
        <v>16</v>
      </c>
      <c r="F236" s="18">
        <f t="shared" si="129"/>
        <v>0</v>
      </c>
      <c r="G236" s="19">
        <f t="shared" ref="G236:G240" si="131">J236+M236+P236+S236+V236+Y236+AB236+AF236</f>
        <v>0</v>
      </c>
      <c r="I236" s="3"/>
      <c r="J236" s="10"/>
      <c r="L236" s="3"/>
      <c r="M236" s="10"/>
      <c r="O236" s="3"/>
      <c r="P236" s="10"/>
      <c r="R236" s="3"/>
      <c r="S236" s="10"/>
      <c r="U236" s="3"/>
      <c r="V236" s="10"/>
      <c r="X236" s="3"/>
      <c r="Y236" s="10"/>
      <c r="AA236" s="3"/>
      <c r="AB236" s="10"/>
      <c r="AD236" s="91"/>
      <c r="AE236" s="92">
        <v>0</v>
      </c>
      <c r="AF236" s="93">
        <f t="shared" si="130"/>
        <v>0</v>
      </c>
    </row>
    <row r="237" spans="1:32" outlineLevel="1">
      <c r="A237" s="68">
        <f>A218</f>
        <v>6</v>
      </c>
      <c r="B237" s="4">
        <v>17</v>
      </c>
      <c r="F237" s="18">
        <f t="shared" si="129"/>
        <v>0</v>
      </c>
      <c r="G237" s="19">
        <f t="shared" si="131"/>
        <v>0</v>
      </c>
      <c r="I237" s="3"/>
      <c r="J237" s="10"/>
      <c r="L237" s="3"/>
      <c r="M237" s="10"/>
      <c r="O237" s="3"/>
      <c r="P237" s="10"/>
      <c r="R237" s="3"/>
      <c r="S237" s="10"/>
      <c r="U237" s="3"/>
      <c r="V237" s="10"/>
      <c r="X237" s="3"/>
      <c r="Y237" s="10"/>
      <c r="AA237" s="3"/>
      <c r="AB237" s="10"/>
      <c r="AD237" s="91"/>
      <c r="AE237" s="92">
        <v>0</v>
      </c>
      <c r="AF237" s="93">
        <f t="shared" si="130"/>
        <v>0</v>
      </c>
    </row>
    <row r="238" spans="1:32" outlineLevel="1">
      <c r="A238" s="68">
        <f>A218</f>
        <v>6</v>
      </c>
      <c r="B238" s="4">
        <v>18</v>
      </c>
      <c r="F238" s="18">
        <f t="shared" si="129"/>
        <v>0</v>
      </c>
      <c r="G238" s="19">
        <f t="shared" si="131"/>
        <v>0</v>
      </c>
      <c r="I238" s="3"/>
      <c r="J238" s="10"/>
      <c r="L238" s="3"/>
      <c r="M238" s="10"/>
      <c r="O238" s="3"/>
      <c r="P238" s="10"/>
      <c r="R238" s="3"/>
      <c r="S238" s="10"/>
      <c r="U238" s="3"/>
      <c r="V238" s="10"/>
      <c r="X238" s="3"/>
      <c r="Y238" s="10"/>
      <c r="AA238" s="3"/>
      <c r="AB238" s="10"/>
      <c r="AD238" s="91"/>
      <c r="AE238" s="92">
        <v>0</v>
      </c>
      <c r="AF238" s="93">
        <f t="shared" si="130"/>
        <v>0</v>
      </c>
    </row>
    <row r="239" spans="1:32" outlineLevel="1">
      <c r="A239" s="68">
        <f>A218</f>
        <v>6</v>
      </c>
      <c r="B239" s="4">
        <v>19</v>
      </c>
      <c r="F239" s="18">
        <f t="shared" si="129"/>
        <v>0</v>
      </c>
      <c r="G239" s="19">
        <f t="shared" si="131"/>
        <v>0</v>
      </c>
      <c r="I239" s="3"/>
      <c r="J239" s="10"/>
      <c r="L239" s="3"/>
      <c r="M239" s="10"/>
      <c r="O239" s="3"/>
      <c r="P239" s="10"/>
      <c r="R239" s="3"/>
      <c r="S239" s="10"/>
      <c r="U239" s="3"/>
      <c r="V239" s="10"/>
      <c r="X239" s="3"/>
      <c r="Y239" s="10"/>
      <c r="AA239" s="3"/>
      <c r="AB239" s="10"/>
      <c r="AD239" s="91"/>
      <c r="AE239" s="92">
        <v>0</v>
      </c>
      <c r="AF239" s="93">
        <f t="shared" si="130"/>
        <v>0</v>
      </c>
    </row>
    <row r="240" spans="1:32" ht="16.350000000000001" customHeight="1" outlineLevel="1">
      <c r="A240" s="68">
        <f>A218</f>
        <v>6</v>
      </c>
      <c r="B240" s="4">
        <v>20</v>
      </c>
      <c r="F240" s="18">
        <f t="shared" si="129"/>
        <v>0</v>
      </c>
      <c r="G240" s="19">
        <f t="shared" si="131"/>
        <v>0</v>
      </c>
      <c r="I240" s="3"/>
      <c r="J240" s="10"/>
      <c r="L240" s="3"/>
      <c r="M240" s="10"/>
      <c r="O240" s="3"/>
      <c r="P240" s="10"/>
      <c r="R240" s="3"/>
      <c r="S240" s="10"/>
      <c r="U240" s="3"/>
      <c r="V240" s="10"/>
      <c r="X240" s="3"/>
      <c r="Y240" s="10"/>
      <c r="AA240" s="3"/>
      <c r="AB240" s="10"/>
      <c r="AD240" s="91"/>
      <c r="AE240" s="92">
        <v>0</v>
      </c>
      <c r="AF240" s="93">
        <f t="shared" si="130"/>
        <v>0</v>
      </c>
    </row>
  </sheetData>
  <mergeCells count="13">
    <mergeCell ref="A7:B7"/>
    <mergeCell ref="R1:S1"/>
    <mergeCell ref="U1:V1"/>
    <mergeCell ref="AD1:AF1"/>
    <mergeCell ref="F1:G1"/>
    <mergeCell ref="I1:J1"/>
    <mergeCell ref="L1:M1"/>
    <mergeCell ref="O1:P1"/>
    <mergeCell ref="X1:Y1"/>
    <mergeCell ref="AA1:AB1"/>
    <mergeCell ref="A1:B1"/>
    <mergeCell ref="A2:B2"/>
    <mergeCell ref="A3:B3"/>
  </mergeCells>
  <dataValidations disablePrompts="1" count="1">
    <dataValidation type="list" allowBlank="1" showInputMessage="1" showErrorMessage="1" sqref="E196:E217 E10:E34 E150:E171 E173:E194 E116:E148 E82:E114 E219:E240 E36:E57 E59:E80" xr:uid="{50C81D92-41B8-4E2E-BD21-0785AE2EAEAB}">
      <formula1>"Dienstleistung, Einzelkosten,externe Leistungen"</formula1>
    </dataValidation>
  </dataValidations>
  <pageMargins left="0.70866141732283472" right="0.70866141732283472" top="0.78740157480314965" bottom="0.78740157480314965" header="0.31496062992125984" footer="0.31496062992125984"/>
  <pageSetup paperSize="9" scale="59" fitToHeight="0" orientation="landscape" r:id="rId1"/>
  <headerFooter>
    <oddHeader>&amp;L&amp;A&amp;R&amp;G</oddHeader>
    <oddFooter>&amp;L&amp;F&amp;6
&amp;K00-049Vorlage: V001_Kalkulation_Produktentstehung_V_1_4&amp;RSeite &amp;P von &amp;N</oddFooter>
  </headerFooter>
  <rowBreaks count="4" manualBreakCount="4">
    <brk id="58" max="31" man="1"/>
    <brk id="121" max="31" man="1"/>
    <brk id="162" max="31" man="1"/>
    <brk id="208" max="31" man="1"/>
  </row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C1B0-3A64-4942-9C1B-6A735A11A5CB}">
  <sheetPr codeName="Tabelle8"/>
  <dimension ref="B1:L5"/>
  <sheetViews>
    <sheetView topLeftCell="A7" workbookViewId="0">
      <selection activeCell="E38" sqref="E38"/>
    </sheetView>
  </sheetViews>
  <sheetFormatPr defaultColWidth="10.88671875" defaultRowHeight="13.2"/>
  <cols>
    <col min="1" max="1" width="16.88671875" style="46" bestFit="1" customWidth="1"/>
    <col min="2" max="2" width="10.88671875" style="46"/>
    <col min="3" max="3" width="10.88671875" style="46" customWidth="1"/>
    <col min="4" max="4" width="30" style="46" customWidth="1"/>
    <col min="5" max="5" width="10.109375" style="46" bestFit="1" customWidth="1"/>
    <col min="6" max="6" width="29.109375" style="46" customWidth="1"/>
    <col min="7" max="16" width="10.88671875" style="46"/>
    <col min="17" max="17" width="11.44140625" style="46" customWidth="1"/>
    <col min="18" max="28" width="10.88671875" style="46"/>
    <col min="29" max="29" width="16.88671875" style="46" customWidth="1"/>
    <col min="30" max="16384" width="10.88671875" style="46"/>
  </cols>
  <sheetData>
    <row r="1" spans="2:12">
      <c r="L1"/>
    </row>
    <row r="3" spans="2:12">
      <c r="B3" s="47"/>
    </row>
    <row r="4" spans="2:12">
      <c r="B4" s="47"/>
    </row>
    <row r="5" spans="2:12">
      <c r="B5" s="47"/>
    </row>
  </sheetData>
  <phoneticPr fontId="19" type="noConversion"/>
  <pageMargins left="0.7" right="0.7" top="0.78740157499999996" bottom="0.78740157499999996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319C5-AEC1-4D04-BBD7-B25A092A5662}">
  <sheetPr codeName="Tabelle2"/>
  <dimension ref="A1:M197"/>
  <sheetViews>
    <sheetView tabSelected="1" topLeftCell="J1" zoomScale="85" zoomScaleNormal="85" workbookViewId="0">
      <selection activeCell="J23" sqref="J23"/>
    </sheetView>
  </sheetViews>
  <sheetFormatPr defaultColWidth="11.44140625" defaultRowHeight="13.2"/>
  <cols>
    <col min="1" max="1" width="13.88671875" bestFit="1" customWidth="1"/>
    <col min="2" max="2" width="33.44140625" style="45" bestFit="1" customWidth="1"/>
    <col min="3" max="3" width="11.5546875" bestFit="1" customWidth="1"/>
    <col min="4" max="4" width="34.33203125" style="45" bestFit="1" customWidth="1"/>
    <col min="5" max="5" width="12.33203125" bestFit="1" customWidth="1"/>
    <col min="6" max="6" width="18.44140625" bestFit="1" customWidth="1"/>
    <col min="7" max="7" width="48.109375" style="45" customWidth="1"/>
    <col min="8" max="8" width="56.44140625" bestFit="1" customWidth="1"/>
    <col min="9" max="9" width="8.33203125" bestFit="1" customWidth="1"/>
    <col min="10" max="10" width="24.44140625" bestFit="1" customWidth="1"/>
    <col min="11" max="11" width="28.44140625" bestFit="1" customWidth="1"/>
    <col min="12" max="12" width="50.77734375" bestFit="1" customWidth="1"/>
  </cols>
  <sheetData>
    <row r="1" spans="1:13" ht="14.4" thickBot="1">
      <c r="A1" s="41" t="s">
        <v>154</v>
      </c>
      <c r="B1" s="42" t="s">
        <v>20</v>
      </c>
      <c r="C1" s="41" t="s">
        <v>21</v>
      </c>
      <c r="D1" s="42" t="s">
        <v>22</v>
      </c>
      <c r="E1" s="41" t="s">
        <v>147</v>
      </c>
      <c r="F1" s="41" t="s">
        <v>148</v>
      </c>
      <c r="G1" s="42" t="s">
        <v>149</v>
      </c>
      <c r="H1" s="41" t="s">
        <v>150</v>
      </c>
      <c r="I1" s="41" t="s">
        <v>151</v>
      </c>
      <c r="J1" s="41" t="s">
        <v>153</v>
      </c>
      <c r="K1" s="41" t="s">
        <v>152</v>
      </c>
      <c r="L1" s="43" t="s">
        <v>155</v>
      </c>
      <c r="M1" s="44" t="s">
        <v>19</v>
      </c>
    </row>
    <row r="2" spans="1:13">
      <c r="A2" t="str">
        <f>IF(OR(Kalkulation!C9="Service",Kalkulation!C9="Individual costs and external services"),"",IF(Kalkulation!B9=0,"Epic","Project-task"))</f>
        <v>Epic</v>
      </c>
      <c r="B2" s="45" t="str">
        <f>IF(OR(Kalkulation!C9="Service",Kalkulation!C9="Individual costs and external services"),"",IF(Kalkulation!B9=0,Kalkulation!C9,""))</f>
        <v>Project Management - PrkzZm</v>
      </c>
      <c r="C2" t="str">
        <f>IF(A2="","",IF(Kalkulation!B9=0,"ghx-label-1",""))</f>
        <v>ghx-label-1</v>
      </c>
      <c r="D2" s="45" t="str">
        <f>IF(Kalkulation!B9=0,"",IF(A1="",IF(#REF!="",#REF!,#REF!),IF(B1="",D1,B1)))</f>
        <v/>
      </c>
      <c r="E2">
        <v>6000</v>
      </c>
      <c r="G2" s="45" t="str">
        <f>IF(Kalkulation!B9=0,IF(A2="Epic",B2," "),Kalkulation!C9)</f>
        <v>Project Management - PrkzZm</v>
      </c>
      <c r="H2" t="str">
        <f>IF(A2="Epic",B2," ")</f>
        <v>Project Management - PrkzZm</v>
      </c>
      <c r="I2" t="str">
        <f>IF(A2="","","Normal")</f>
        <v>Normal</v>
      </c>
      <c r="J2" t="str">
        <f>IF(OR(A2="",A2="Epic"),"",Kalkulation!F9*60*60)</f>
        <v/>
      </c>
      <c r="K2" t="str">
        <f>J2</f>
        <v/>
      </c>
      <c r="L2" t="str">
        <f>CONCATENATE(Kalkulation!$C$3,": ",Kalkulation!$C$2,)</f>
        <v>write your component number(only integer): Projekt</v>
      </c>
      <c r="M2" t="str">
        <f>IF(A2="Epic",IF(Kalkulation!F9=0,"x",""),IF(OR(J2=0,A2="",B2=0),"x",""))</f>
        <v>x</v>
      </c>
    </row>
    <row r="3" spans="1:13">
      <c r="A3" t="str">
        <f>IF(OR(Kalkulation!C10="Service",Kalkulation!C10="Individual costs and external services"),"",IF(Kalkulation!B10=0,"Epic","Project-task"))</f>
        <v/>
      </c>
      <c r="B3" s="45" t="str">
        <f>IF(OR(Kalkulation!C10="Service",Kalkulation!C10="Individual costs and external services"),"",IF(Kalkulation!B10=0,Kalkulation!C10,""))</f>
        <v/>
      </c>
      <c r="C3" t="str">
        <f>IF(A3="","",IF(Kalkulation!B10=0,"ghx-label-1",""))</f>
        <v/>
      </c>
      <c r="D3" s="45" t="str">
        <f>IF(Kalkulation!B10=0,"",IF(A2="",IF(B1="",D1,B1),IF(B2="",D2,B2)))</f>
        <v/>
      </c>
      <c r="E3" t="str">
        <f>IF(A3="","",IF(E2="",E1+1,E2+1))</f>
        <v/>
      </c>
      <c r="G3" s="45" t="str">
        <f>IF(Kalkulation!B10=0,IF(A3="Epic",B3," "),Kalkulation!C10)</f>
        <v xml:space="preserve"> </v>
      </c>
      <c r="H3" t="str">
        <f t="shared" ref="H3:H66" si="0">IF(A3="Epic",B3," ")</f>
        <v xml:space="preserve"> </v>
      </c>
      <c r="I3" t="str">
        <f t="shared" ref="I3:I66" si="1">IF(A3="","","Normal")</f>
        <v/>
      </c>
      <c r="J3" t="str">
        <f>IF(OR(A3="",A3="Epic"),"",Kalkulation!F10*60*60)</f>
        <v/>
      </c>
      <c r="K3" t="str">
        <f t="shared" ref="K3:K66" si="2">J3</f>
        <v/>
      </c>
      <c r="L3" t="str">
        <f>CONCATENATE(Kalkulation!$C$3,": ",Kalkulation!$C$2,)</f>
        <v>write your component number(only integer): Projekt</v>
      </c>
      <c r="M3" t="str">
        <f>IF(A3="Epic",IF(Kalkulation!F10=0,"x",""),IF(OR(J3=0,A3="",B3=0),"x",""))</f>
        <v>x</v>
      </c>
    </row>
    <row r="4" spans="1:13">
      <c r="A4" t="str">
        <f>IF(OR(Kalkulation!C11="Service",Kalkulation!C11="Individual costs and external services"),"",IF(Kalkulation!B11=0,"Epic","Project-task"))</f>
        <v>Project-task</v>
      </c>
      <c r="B4" s="45" t="str">
        <f>IF(OR(Kalkulation!C11="Service",Kalkulation!C11="Individual costs and external services"),"",IF(Kalkulation!B11=0,Kalkulation!C11,""))</f>
        <v/>
      </c>
      <c r="C4" t="str">
        <f>IF(A4="","",IF(Kalkulation!B11=0,"ghx-label-1",""))</f>
        <v/>
      </c>
      <c r="D4" s="45" t="str">
        <f>IF(Kalkulation!B11=0,"",IF(A3="",IF(B2="",D2,B2),IF(B3="",D3,B3)))</f>
        <v>Project Management - PrkzZm</v>
      </c>
      <c r="E4">
        <f t="shared" ref="E4:E67" si="3">IF(A4="","",IF(E3="",E2+1,E3+1))</f>
        <v>6001</v>
      </c>
      <c r="G4" s="45" t="str">
        <f>IF(Kalkulation!B11=0,IF(A4="Epic",B4," "),Kalkulation!C11)</f>
        <v>Scheduling and scheduling</v>
      </c>
      <c r="H4" t="str">
        <f t="shared" si="0"/>
        <v xml:space="preserve"> </v>
      </c>
      <c r="I4" t="str">
        <f t="shared" si="1"/>
        <v>Normal</v>
      </c>
      <c r="J4">
        <f>IF(OR(A4="",A4="Epic"),"",Kalkulation!F11*60*60)</f>
        <v>0</v>
      </c>
      <c r="K4">
        <f t="shared" si="2"/>
        <v>0</v>
      </c>
      <c r="L4" t="str">
        <f>CONCATENATE(Kalkulation!$C$3,": ",Kalkulation!$C$2,)</f>
        <v>write your component number(only integer): Projekt</v>
      </c>
      <c r="M4" t="str">
        <f>IF(A4="Epic",IF(Kalkulation!F11=0,"x",""),IF(OR(J4=0,A4="",B4=0),"x",""))</f>
        <v>x</v>
      </c>
    </row>
    <row r="5" spans="1:13">
      <c r="A5" t="str">
        <f>IF(OR(Kalkulation!C12="Service",Kalkulation!C12="Individual costs and external services"),"",IF(Kalkulation!B12=0,"Epic","Project-task"))</f>
        <v>Project-task</v>
      </c>
      <c r="B5" s="45" t="str">
        <f>IF(OR(Kalkulation!C12="Service",Kalkulation!C12="Individual costs and external services"),"",IF(Kalkulation!B12=0,Kalkulation!C12,""))</f>
        <v/>
      </c>
      <c r="C5" t="str">
        <f>IF(A5="","",IF(Kalkulation!B12=0,"ghx-label-1",""))</f>
        <v/>
      </c>
      <c r="D5" s="45" t="str">
        <f>IF(Kalkulation!B12=0,"",IF(A4="",IF(B3="",D3,B3),IF(B4="",D4,B4)))</f>
        <v>Project Management - PrkzZm</v>
      </c>
      <c r="E5">
        <f t="shared" si="3"/>
        <v>6002</v>
      </c>
      <c r="G5" s="45" t="str">
        <f>IF(Kalkulation!B12=0,IF(A5="Epic",B5," "),Kalkulation!C12)</f>
        <v>Cost planning and controlling</v>
      </c>
      <c r="H5" t="str">
        <f t="shared" si="0"/>
        <v xml:space="preserve"> </v>
      </c>
      <c r="I5" t="str">
        <f t="shared" si="1"/>
        <v>Normal</v>
      </c>
      <c r="J5">
        <f>IF(OR(A5="",A5="Epic"),"",Kalkulation!F12*60*60)</f>
        <v>0</v>
      </c>
      <c r="K5">
        <f t="shared" si="2"/>
        <v>0</v>
      </c>
      <c r="L5" t="str">
        <f>CONCATENATE(Kalkulation!$C$3,": ",Kalkulation!$C$2,)</f>
        <v>write your component number(only integer): Projekt</v>
      </c>
      <c r="M5" t="str">
        <f>IF(A5="Epic",IF(Kalkulation!F12=0,"x",""),IF(OR(J5=0,A5="",B5=0),"x",""))</f>
        <v>x</v>
      </c>
    </row>
    <row r="6" spans="1:13">
      <c r="A6" t="str">
        <f>IF(OR(Kalkulation!C13="Service",Kalkulation!C13="Individual costs and external services"),"",IF(Kalkulation!B13=0,"Epic","Project-task"))</f>
        <v>Project-task</v>
      </c>
      <c r="B6" s="45" t="str">
        <f>IF(OR(Kalkulation!C13="Service",Kalkulation!C13="Individual costs and external services"),"",IF(Kalkulation!B13=0,Kalkulation!C13,""))</f>
        <v/>
      </c>
      <c r="C6" t="str">
        <f>IF(A6="","",IF(Kalkulation!B13=0,"ghx-label-1",""))</f>
        <v/>
      </c>
      <c r="D6" s="45" t="str">
        <f>IF(Kalkulation!B13=0,"",IF(A5="",IF(B4="",D4,B4),IF(B5="",D5,B5)))</f>
        <v>Project Management - PrkzZm</v>
      </c>
      <c r="E6">
        <f t="shared" si="3"/>
        <v>6003</v>
      </c>
      <c r="G6" s="45" t="str">
        <f>IF(Kalkulation!B13=0,IF(A6="Epic",B6," "),Kalkulation!C13)</f>
        <v>Project reporting (external)</v>
      </c>
      <c r="H6" t="str">
        <f t="shared" si="0"/>
        <v xml:space="preserve"> </v>
      </c>
      <c r="I6" t="str">
        <f t="shared" si="1"/>
        <v>Normal</v>
      </c>
      <c r="J6">
        <f>IF(OR(A6="",A6="Epic"),"",Kalkulation!F13*60*60)</f>
        <v>0</v>
      </c>
      <c r="K6">
        <f t="shared" si="2"/>
        <v>0</v>
      </c>
      <c r="L6" t="str">
        <f>CONCATENATE(Kalkulation!$C$3,": ",Kalkulation!$C$2,)</f>
        <v>write your component number(only integer): Projekt</v>
      </c>
      <c r="M6" t="str">
        <f>IF(A6="Epic",IF(Kalkulation!F13=0,"x",""),IF(OR(J6=0,A6="",B6=0),"x",""))</f>
        <v>x</v>
      </c>
    </row>
    <row r="7" spans="1:13">
      <c r="A7" t="str">
        <f>IF(OR(Kalkulation!C14="Service",Kalkulation!C14="Individual costs and external services"),"",IF(Kalkulation!B14=0,"Epic","Project-task"))</f>
        <v>Project-task</v>
      </c>
      <c r="B7" s="45" t="str">
        <f>IF(OR(Kalkulation!C14="Service",Kalkulation!C14="Individual costs and external services"),"",IF(Kalkulation!B14=0,Kalkulation!C14,""))</f>
        <v/>
      </c>
      <c r="C7" t="str">
        <f>IF(A7="","",IF(Kalkulation!B14=0,"ghx-label-1",""))</f>
        <v/>
      </c>
      <c r="D7" s="45" t="str">
        <f>IF(Kalkulation!B14=0,"",IF(A6="",IF(B5="",D5,B5),IF(B6="",D6,B6)))</f>
        <v>Project Management - PrkzZm</v>
      </c>
      <c r="E7">
        <f t="shared" si="3"/>
        <v>6004</v>
      </c>
      <c r="G7" s="45" t="str">
        <f>IF(Kalkulation!B14=0,IF(A7="Epic",B7," "),Kalkulation!C14)</f>
        <v>Regular telephone conferences with service providers</v>
      </c>
      <c r="H7" t="str">
        <f t="shared" si="0"/>
        <v xml:space="preserve"> </v>
      </c>
      <c r="I7" t="str">
        <f t="shared" si="1"/>
        <v>Normal</v>
      </c>
      <c r="J7">
        <f>IF(OR(A7="",A7="Epic"),"",Kalkulation!F14*60*60)</f>
        <v>0</v>
      </c>
      <c r="K7">
        <f t="shared" si="2"/>
        <v>0</v>
      </c>
      <c r="L7" t="str">
        <f>CONCATENATE(Kalkulation!$C$3,": ",Kalkulation!$C$2,)</f>
        <v>write your component number(only integer): Projekt</v>
      </c>
      <c r="M7" t="str">
        <f>IF(A7="Epic",IF(Kalkulation!F14=0,"x",""),IF(OR(J7=0,A7="",B7=0),"x",""))</f>
        <v>x</v>
      </c>
    </row>
    <row r="8" spans="1:13">
      <c r="A8" t="str">
        <f>IF(OR(Kalkulation!C15="Service",Kalkulation!C15="Individual costs and external services"),"",IF(Kalkulation!B15=0,"Epic","Project-task"))</f>
        <v>Project-task</v>
      </c>
      <c r="B8" s="45" t="str">
        <f>IF(OR(Kalkulation!C15="Service",Kalkulation!C15="Individual costs and external services"),"",IF(Kalkulation!B15=0,Kalkulation!C15,""))</f>
        <v/>
      </c>
      <c r="C8" t="str">
        <f>IF(A8="","",IF(Kalkulation!B15=0,"ghx-label-1",""))</f>
        <v/>
      </c>
      <c r="D8" s="45" t="str">
        <f>IF(Kalkulation!B15=0,"",IF(A7="",IF(B6="",D6,B6),IF(B7="",D7,B7)))</f>
        <v>Project Management - PrkzZm</v>
      </c>
      <c r="E8">
        <f t="shared" si="3"/>
        <v>6005</v>
      </c>
      <c r="G8" s="45" t="str">
        <f>IF(Kalkulation!B15=0,IF(A8="Epic",B8," "),Kalkulation!C15)</f>
        <v>Regular customer visits</v>
      </c>
      <c r="H8" t="str">
        <f t="shared" si="0"/>
        <v xml:space="preserve"> </v>
      </c>
      <c r="I8" t="str">
        <f t="shared" si="1"/>
        <v>Normal</v>
      </c>
      <c r="J8">
        <f>IF(OR(A8="",A8="Epic"),"",Kalkulation!F15*60*60)</f>
        <v>0</v>
      </c>
      <c r="K8">
        <f t="shared" si="2"/>
        <v>0</v>
      </c>
      <c r="L8" t="str">
        <f>CONCATENATE(Kalkulation!$C$3,": ",Kalkulation!$C$2,)</f>
        <v>write your component number(only integer): Projekt</v>
      </c>
      <c r="M8" t="str">
        <f>IF(A8="Epic",IF(Kalkulation!F15=0,"x",""),IF(OR(J8=0,A8="",B8=0),"x",""))</f>
        <v>x</v>
      </c>
    </row>
    <row r="9" spans="1:13">
      <c r="A9" t="str">
        <f>IF(OR(Kalkulation!C16="Service",Kalkulation!C16="Individual costs and external services"),"",IF(Kalkulation!B16=0,"Epic","Project-task"))</f>
        <v>Project-task</v>
      </c>
      <c r="B9" s="45" t="str">
        <f>IF(OR(Kalkulation!C16="Service",Kalkulation!C16="Individual costs and external services"),"",IF(Kalkulation!B16=0,Kalkulation!C16,""))</f>
        <v/>
      </c>
      <c r="C9" t="str">
        <f>IF(A9="","",IF(Kalkulation!B16=0,"ghx-label-1",""))</f>
        <v/>
      </c>
      <c r="D9" s="45" t="str">
        <f>IF(Kalkulation!B16=0,"",IF(A8="",IF(B7="",D7,B7),IF(B8="",D8,B8)))</f>
        <v>Project Management - PrkzZm</v>
      </c>
      <c r="E9">
        <f t="shared" si="3"/>
        <v>6006</v>
      </c>
      <c r="G9" s="45" t="str">
        <f>IF(Kalkulation!B16=0,IF(A9="Epic",B9," "),Kalkulation!C16)</f>
        <v>Change management in the development process</v>
      </c>
      <c r="H9" t="str">
        <f t="shared" si="0"/>
        <v xml:space="preserve"> </v>
      </c>
      <c r="I9" t="str">
        <f t="shared" si="1"/>
        <v>Normal</v>
      </c>
      <c r="J9">
        <f>IF(OR(A9="",A9="Epic"),"",Kalkulation!F16*60*60)</f>
        <v>0</v>
      </c>
      <c r="K9">
        <f t="shared" si="2"/>
        <v>0</v>
      </c>
      <c r="L9" t="str">
        <f>CONCATENATE(Kalkulation!$C$3,": ",Kalkulation!$C$2,)</f>
        <v>write your component number(only integer): Projekt</v>
      </c>
      <c r="M9" t="str">
        <f>IF(A9="Epic",IF(Kalkulation!F16=0,"x",""),IF(OR(J9=0,A9="",B9=0),"x",""))</f>
        <v>x</v>
      </c>
    </row>
    <row r="10" spans="1:13">
      <c r="A10" t="str">
        <f>IF(OR(Kalkulation!C17="Service",Kalkulation!C17="Individual costs and external services"),"",IF(Kalkulation!B17=0,"Epic","Project-task"))</f>
        <v>Project-task</v>
      </c>
      <c r="B10" s="45" t="str">
        <f>IF(OR(Kalkulation!C17="Service",Kalkulation!C17="Individual costs and external services"),"",IF(Kalkulation!B17=0,Kalkulation!C17,""))</f>
        <v/>
      </c>
      <c r="C10" t="str">
        <f>IF(A10="","",IF(Kalkulation!B17=0,"ghx-label-1",""))</f>
        <v/>
      </c>
      <c r="D10" s="45" t="str">
        <f>IF(Kalkulation!B17=0,"",IF(A9="",IF(B8="",D8,B8),IF(B9="",D9,B9)))</f>
        <v>Project Management - PrkzZm</v>
      </c>
      <c r="E10">
        <f t="shared" si="3"/>
        <v>6007</v>
      </c>
      <c r="G10" s="45" t="str">
        <f>IF(Kalkulation!B17=0,IF(A10="Epic",B10," "),Kalkulation!C17)</f>
        <v>Risk management</v>
      </c>
      <c r="H10" t="str">
        <f t="shared" si="0"/>
        <v xml:space="preserve"> </v>
      </c>
      <c r="I10" t="str">
        <f t="shared" si="1"/>
        <v>Normal</v>
      </c>
      <c r="J10">
        <f>IF(OR(A10="",A10="Epic"),"",Kalkulation!F17*60*60)</f>
        <v>0</v>
      </c>
      <c r="K10">
        <f t="shared" si="2"/>
        <v>0</v>
      </c>
      <c r="L10" t="str">
        <f>CONCATENATE(Kalkulation!$C$3,": ",Kalkulation!$C$2,)</f>
        <v>write your component number(only integer): Projekt</v>
      </c>
      <c r="M10" t="str">
        <f>IF(A10="Epic",IF(Kalkulation!F17=0,"x",""),IF(OR(J10=0,A10="",B10=0),"x",""))</f>
        <v>x</v>
      </c>
    </row>
    <row r="11" spans="1:13">
      <c r="A11" t="str">
        <f>IF(OR(Kalkulation!C18="Service",Kalkulation!C18="Individual costs and external services"),"",IF(Kalkulation!B18=0,"Epic","Project-task"))</f>
        <v>Project-task</v>
      </c>
      <c r="B11" s="45" t="str">
        <f>IF(OR(Kalkulation!C18="Service",Kalkulation!C18="Individual costs and external services"),"",IF(Kalkulation!B18=0,Kalkulation!C18,""))</f>
        <v/>
      </c>
      <c r="C11" t="str">
        <f>IF(A11="","",IF(Kalkulation!B18=0,"ghx-label-1",""))</f>
        <v/>
      </c>
      <c r="D11" s="45" t="str">
        <f>IF(Kalkulation!B18=0,"",IF(A10="",IF(B9="",D9,B9),IF(B10="",D10,B10)))</f>
        <v>Project Management - PrkzZm</v>
      </c>
      <c r="E11">
        <f t="shared" si="3"/>
        <v>6008</v>
      </c>
      <c r="G11" s="45" t="str">
        <f>IF(Kalkulation!B18=0,IF(A11="Epic",B11," "),Kalkulation!C18)</f>
        <v>M0: Project Release</v>
      </c>
      <c r="H11" t="str">
        <f t="shared" si="0"/>
        <v xml:space="preserve"> </v>
      </c>
      <c r="I11" t="str">
        <f t="shared" si="1"/>
        <v>Normal</v>
      </c>
      <c r="J11">
        <f>IF(OR(A11="",A11="Epic"),"",Kalkulation!F18*60*60)</f>
        <v>0</v>
      </c>
      <c r="K11">
        <f t="shared" si="2"/>
        <v>0</v>
      </c>
      <c r="L11" t="str">
        <f>CONCATENATE(Kalkulation!$C$3,": ",Kalkulation!$C$2,)</f>
        <v>write your component number(only integer): Projekt</v>
      </c>
      <c r="M11" t="str">
        <f>IF(A11="Epic",IF(Kalkulation!F18=0,"x",""),IF(OR(J11=0,A11="",B11=0),"x",""))</f>
        <v>x</v>
      </c>
    </row>
    <row r="12" spans="1:13">
      <c r="A12" t="str">
        <f>IF(OR(Kalkulation!C19="Service",Kalkulation!C19="Individual costs and external services"),"",IF(Kalkulation!B19=0,"Epic","Project-task"))</f>
        <v>Project-task</v>
      </c>
      <c r="B12" s="45" t="str">
        <f>IF(OR(Kalkulation!C19="Service",Kalkulation!C19="Individual costs and external services"),"",IF(Kalkulation!B19=0,Kalkulation!C19,""))</f>
        <v/>
      </c>
      <c r="C12" t="str">
        <f>IF(A12="","",IF(Kalkulation!B19=0,"ghx-label-1",""))</f>
        <v/>
      </c>
      <c r="D12" s="45" t="str">
        <f>IF(Kalkulation!B19=0,"",IF(A11="",IF(B10="",D10,B10),IF(B11="",D11,B11)))</f>
        <v>Project Management - PrkzZm</v>
      </c>
      <c r="E12">
        <f t="shared" si="3"/>
        <v>6009</v>
      </c>
      <c r="G12" s="45" t="str">
        <f>IF(Kalkulation!B19=0,IF(A12="Epic",B12," "),Kalkulation!C19)</f>
        <v>M1: Detailed concept and system design</v>
      </c>
      <c r="H12" t="str">
        <f t="shared" si="0"/>
        <v xml:space="preserve"> </v>
      </c>
      <c r="I12" t="str">
        <f t="shared" si="1"/>
        <v>Normal</v>
      </c>
      <c r="J12">
        <f>IF(OR(A12="",A12="Epic"),"",Kalkulation!F19*60*60)</f>
        <v>0</v>
      </c>
      <c r="K12">
        <f t="shared" si="2"/>
        <v>0</v>
      </c>
      <c r="L12" t="str">
        <f>CONCATENATE(Kalkulation!$C$3,": ",Kalkulation!$C$2,)</f>
        <v>write your component number(only integer): Projekt</v>
      </c>
      <c r="M12" t="str">
        <f>IF(A12="Epic",IF(Kalkulation!F19=0,"x",""),IF(OR(J12=0,A12="",B12=0),"x",""))</f>
        <v>x</v>
      </c>
    </row>
    <row r="13" spans="1:13">
      <c r="A13" t="str">
        <f>IF(OR(Kalkulation!C20="Service",Kalkulation!C20="Individual costs and external services"),"",IF(Kalkulation!B20=0,"Epic","Project-task"))</f>
        <v>Project-task</v>
      </c>
      <c r="B13" s="45" t="str">
        <f>IF(OR(Kalkulation!C20="Service",Kalkulation!C20="Individual costs and external services"),"",IF(Kalkulation!B20=0,Kalkulation!C20,""))</f>
        <v/>
      </c>
      <c r="C13" t="str">
        <f>IF(A13="","",IF(Kalkulation!B20=0,"ghx-label-1",""))</f>
        <v/>
      </c>
      <c r="D13" s="45" t="str">
        <f>IF(Kalkulation!B20=0,"",IF(A12="",IF(B11="",D11,B11),IF(B12="",D12,B12)))</f>
        <v>Project Management - PrkzZm</v>
      </c>
      <c r="E13">
        <f t="shared" si="3"/>
        <v>6010</v>
      </c>
      <c r="G13" s="45" t="str">
        <f>IF(Kalkulation!B20=0,IF(A13="Epic",B13," "),Kalkulation!C20)</f>
        <v>M2: Concept design confirmed</v>
      </c>
      <c r="H13" t="str">
        <f t="shared" si="0"/>
        <v xml:space="preserve"> </v>
      </c>
      <c r="I13" t="str">
        <f t="shared" si="1"/>
        <v>Normal</v>
      </c>
      <c r="J13">
        <f>IF(OR(A13="",A13="Epic"),"",Kalkulation!F20*60*60)</f>
        <v>0</v>
      </c>
      <c r="K13">
        <f t="shared" si="2"/>
        <v>0</v>
      </c>
      <c r="L13" t="str">
        <f>CONCATENATE(Kalkulation!$C$3,": ",Kalkulation!$C$2,)</f>
        <v>write your component number(only integer): Projekt</v>
      </c>
      <c r="M13" t="str">
        <f>IF(A13="Epic",IF(Kalkulation!F20=0,"x",""),IF(OR(J13=0,A13="",B13=0),"x",""))</f>
        <v>x</v>
      </c>
    </row>
    <row r="14" spans="1:13">
      <c r="A14" t="str">
        <f>IF(OR(Kalkulation!C21="Service",Kalkulation!C21="Individual costs and external services"),"",IF(Kalkulation!B21=0,"Epic","Project-task"))</f>
        <v>Project-task</v>
      </c>
      <c r="B14" s="45" t="str">
        <f>IF(OR(Kalkulation!C21="Service",Kalkulation!C21="Individual costs and external services"),"",IF(Kalkulation!B21=0,Kalkulation!C21,""))</f>
        <v/>
      </c>
      <c r="C14" t="str">
        <f>IF(A14="","",IF(Kalkulation!B21=0,"ghx-label-1",""))</f>
        <v/>
      </c>
      <c r="D14" s="45" t="str">
        <f>IF(Kalkulation!B21=0,"",IF(A13="",IF(B12="",D12,B12),IF(B13="",D13,B13)))</f>
        <v>Project Management - PrkzZm</v>
      </c>
      <c r="E14">
        <f t="shared" si="3"/>
        <v>6011</v>
      </c>
      <c r="G14" s="45" t="str">
        <f>IF(Kalkulation!B21=0,IF(A14="Epic",B14," "),Kalkulation!C21)</f>
        <v>M3.1: B0 sample phase completed</v>
      </c>
      <c r="H14" t="str">
        <f t="shared" si="0"/>
        <v xml:space="preserve"> </v>
      </c>
      <c r="I14" t="str">
        <f t="shared" si="1"/>
        <v>Normal</v>
      </c>
      <c r="J14">
        <f>IF(OR(A14="",A14="Epic"),"",Kalkulation!F21*60*60)</f>
        <v>0</v>
      </c>
      <c r="K14">
        <f t="shared" si="2"/>
        <v>0</v>
      </c>
      <c r="L14" t="str">
        <f>CONCATENATE(Kalkulation!$C$3,": ",Kalkulation!$C$2,)</f>
        <v>write your component number(only integer): Projekt</v>
      </c>
      <c r="M14" t="str">
        <f>IF(A14="Epic",IF(Kalkulation!F21=0,"x",""),IF(OR(J14=0,A14="",B14=0),"x",""))</f>
        <v>x</v>
      </c>
    </row>
    <row r="15" spans="1:13">
      <c r="A15" t="str">
        <f>IF(OR(Kalkulation!C22="Service",Kalkulation!C22="Individual costs and external services"),"",IF(Kalkulation!B22=0,"Epic","Project-task"))</f>
        <v>Project-task</v>
      </c>
      <c r="B15" s="45" t="str">
        <f>IF(OR(Kalkulation!C22="Service",Kalkulation!C22="Individual costs and external services"),"",IF(Kalkulation!B22=0,Kalkulation!C22,""))</f>
        <v/>
      </c>
      <c r="C15" t="str">
        <f>IF(A15="","",IF(Kalkulation!B22=0,"ghx-label-1",""))</f>
        <v/>
      </c>
      <c r="D15" s="45" t="str">
        <f>IF(Kalkulation!B22=0,"",IF(A14="",IF(B13="",D13,B13),IF(B14="",D14,B14)))</f>
        <v>Project Management - PrkzZm</v>
      </c>
      <c r="E15">
        <f t="shared" si="3"/>
        <v>6012</v>
      </c>
      <c r="G15" s="45" t="str">
        <f>IF(Kalkulation!B22=0,IF(A15="Epic",B15," "),Kalkulation!C22)</f>
        <v>M3.2: B1 pattern completed</v>
      </c>
      <c r="H15" t="str">
        <f t="shared" si="0"/>
        <v xml:space="preserve"> </v>
      </c>
      <c r="I15" t="str">
        <f t="shared" si="1"/>
        <v>Normal</v>
      </c>
      <c r="J15">
        <f>IF(OR(A15="",A15="Epic"),"",Kalkulation!F22*60*60)</f>
        <v>0</v>
      </c>
      <c r="K15">
        <f t="shared" si="2"/>
        <v>0</v>
      </c>
      <c r="L15" t="str">
        <f>CONCATENATE(Kalkulation!$C$3,": ",Kalkulation!$C$2,)</f>
        <v>write your component number(only integer): Projekt</v>
      </c>
      <c r="M15" t="str">
        <f>IF(A15="Epic",IF(Kalkulation!F22=0,"x",""),IF(OR(J15=0,A15="",B15=0),"x",""))</f>
        <v>x</v>
      </c>
    </row>
    <row r="16" spans="1:13">
      <c r="A16" t="str">
        <f>IF(OR(Kalkulation!C23="Service",Kalkulation!C23="Individual costs and external services"),"",IF(Kalkulation!B23=0,"Epic","Project-task"))</f>
        <v>Project-task</v>
      </c>
      <c r="B16" s="45" t="str">
        <f>IF(OR(Kalkulation!C23="Service",Kalkulation!C23="Individual costs and external services"),"",IF(Kalkulation!B23=0,Kalkulation!C23,""))</f>
        <v/>
      </c>
      <c r="C16" t="str">
        <f>IF(A16="","",IF(Kalkulation!B23=0,"ghx-label-1",""))</f>
        <v/>
      </c>
      <c r="D16" s="45" t="str">
        <f>IF(Kalkulation!B23=0,"",IF(A15="",IF(B14="",D14,B14),IF(B15="",D15,B15)))</f>
        <v>Project Management - PrkzZm</v>
      </c>
      <c r="E16">
        <f t="shared" si="3"/>
        <v>6013</v>
      </c>
      <c r="G16" s="45" t="str">
        <f>IF(Kalkulation!B23=0,IF(A16="Epic",B16," "),Kalkulation!C23)</f>
        <v>M3: Product Released</v>
      </c>
      <c r="H16" t="str">
        <f t="shared" si="0"/>
        <v xml:space="preserve"> </v>
      </c>
      <c r="I16" t="str">
        <f t="shared" si="1"/>
        <v>Normal</v>
      </c>
      <c r="J16">
        <f>IF(OR(A16="",A16="Epic"),"",Kalkulation!F23*60*60)</f>
        <v>0</v>
      </c>
      <c r="K16">
        <f t="shared" si="2"/>
        <v>0</v>
      </c>
      <c r="L16" t="str">
        <f>CONCATENATE(Kalkulation!$C$3,": ",Kalkulation!$C$2,)</f>
        <v>write your component number(only integer): Projekt</v>
      </c>
      <c r="M16" t="str">
        <f>IF(A16="Epic",IF(Kalkulation!F23=0,"x",""),IF(OR(J16=0,A16="",B16=0),"x",""))</f>
        <v>x</v>
      </c>
    </row>
    <row r="17" spans="1:13">
      <c r="A17" t="str">
        <f>IF(OR(Kalkulation!C24="Service",Kalkulation!C24="Individual costs and external services"),"",IF(Kalkulation!B24=0,"Epic","Project-task"))</f>
        <v>Project-task</v>
      </c>
      <c r="B17" s="45" t="str">
        <f>IF(OR(Kalkulation!C24="Service",Kalkulation!C24="Individual costs and external services"),"",IF(Kalkulation!B24=0,Kalkulation!C24,""))</f>
        <v/>
      </c>
      <c r="C17" t="str">
        <f>IF(A17="","",IF(Kalkulation!B24=0,"ghx-label-1",""))</f>
        <v/>
      </c>
      <c r="D17" s="45" t="str">
        <f>IF(Kalkulation!B24=0,"",IF(A16="",IF(B15="",D15,B15),IF(B16="",D16,B16)))</f>
        <v>Project Management - PrkzZm</v>
      </c>
      <c r="E17">
        <f t="shared" si="3"/>
        <v>6014</v>
      </c>
      <c r="G17" s="45" t="str">
        <f>IF(Kalkulation!B24=0,IF(A17="Epic",B17," "),Kalkulation!C24)</f>
        <v>M4: Industrialization completed</v>
      </c>
      <c r="H17" t="str">
        <f t="shared" si="0"/>
        <v xml:space="preserve"> </v>
      </c>
      <c r="I17" t="str">
        <f t="shared" si="1"/>
        <v>Normal</v>
      </c>
      <c r="J17">
        <f>IF(OR(A17="",A17="Epic"),"",Kalkulation!F24*60*60)</f>
        <v>0</v>
      </c>
      <c r="K17">
        <f t="shared" si="2"/>
        <v>0</v>
      </c>
      <c r="L17" t="str">
        <f>CONCATENATE(Kalkulation!$C$3,": ",Kalkulation!$C$2,)</f>
        <v>write your component number(only integer): Projekt</v>
      </c>
      <c r="M17" t="str">
        <f>IF(A17="Epic",IF(Kalkulation!F24=0,"x",""),IF(OR(J17=0,A17="",B17=0),"x",""))</f>
        <v>x</v>
      </c>
    </row>
    <row r="18" spans="1:13">
      <c r="A18" t="str">
        <f>IF(OR(Kalkulation!C25="Service",Kalkulation!C25="Individual costs and external services"),"",IF(Kalkulation!B25=0,"Epic","Project-task"))</f>
        <v>Project-task</v>
      </c>
      <c r="B18" s="45" t="str">
        <f>IF(OR(Kalkulation!C25="Service",Kalkulation!C25="Individual costs and external services"),"",IF(Kalkulation!B25=0,Kalkulation!C25,""))</f>
        <v/>
      </c>
      <c r="C18" t="str">
        <f>IF(A18="","",IF(Kalkulation!B25=0,"ghx-label-1",""))</f>
        <v/>
      </c>
      <c r="D18" s="45" t="str">
        <f>IF(Kalkulation!B25=0,"",IF(A17="",IF(B16="",D16,B16),IF(B17="",D17,B17)))</f>
        <v>Project Management - PrkzZm</v>
      </c>
      <c r="E18">
        <f t="shared" si="3"/>
        <v>6015</v>
      </c>
      <c r="G18" s="45" t="str">
        <f>IF(Kalkulation!B25=0,IF(A18="Epic",B18," "),Kalkulation!C25)</f>
        <v>M5: Product and Process Handed Over</v>
      </c>
      <c r="H18" t="str">
        <f t="shared" si="0"/>
        <v xml:space="preserve"> </v>
      </c>
      <c r="I18" t="str">
        <f t="shared" si="1"/>
        <v>Normal</v>
      </c>
      <c r="J18">
        <f>IF(OR(A18="",A18="Epic"),"",Kalkulation!F25*60*60)</f>
        <v>0</v>
      </c>
      <c r="K18">
        <f t="shared" si="2"/>
        <v>0</v>
      </c>
      <c r="L18" t="str">
        <f>CONCATENATE(Kalkulation!$C$3,": ",Kalkulation!$C$2,)</f>
        <v>write your component number(only integer): Projekt</v>
      </c>
      <c r="M18" t="str">
        <f>IF(A18="Epic",IF(Kalkulation!F25=0,"x",""),IF(OR(J18=0,A18="",B18=0),"x",""))</f>
        <v>x</v>
      </c>
    </row>
    <row r="19" spans="1:13">
      <c r="A19" t="str">
        <f>IF(OR(Kalkulation!C26="Service",Kalkulation!C26="Individual costs and external services"),"",IF(Kalkulation!B26=0,"Epic","Project-task"))</f>
        <v>Project-task</v>
      </c>
      <c r="B19" s="45" t="str">
        <f>IF(OR(Kalkulation!C26="Service",Kalkulation!C26="Individual costs and external services"),"",IF(Kalkulation!B26=0,Kalkulation!C26,""))</f>
        <v/>
      </c>
      <c r="C19" t="str">
        <f>IF(A19="","",IF(Kalkulation!B26=0,"ghx-label-1",""))</f>
        <v/>
      </c>
      <c r="D19" s="45" t="str">
        <f>IF(Kalkulation!B26=0,"",IF(A18="",IF(B17="",D17,B17),IF(B18="",D18,B18)))</f>
        <v>Project Management - PrkzZm</v>
      </c>
      <c r="E19">
        <f t="shared" si="3"/>
        <v>6016</v>
      </c>
      <c r="G19" s="45" t="str">
        <f>IF(Kalkulation!B26=0,IF(A19="Epic",B19," "),Kalkulation!C26)</f>
        <v>Organization</v>
      </c>
      <c r="H19" t="str">
        <f t="shared" si="0"/>
        <v xml:space="preserve"> </v>
      </c>
      <c r="I19" t="str">
        <f t="shared" si="1"/>
        <v>Normal</v>
      </c>
      <c r="J19">
        <f>IF(OR(A19="",A19="Epic"),"",Kalkulation!F26*60*60)</f>
        <v>0</v>
      </c>
      <c r="K19">
        <f t="shared" si="2"/>
        <v>0</v>
      </c>
      <c r="L19" t="str">
        <f>CONCATENATE(Kalkulation!$C$3,": ",Kalkulation!$C$2,)</f>
        <v>write your component number(only integer): Projekt</v>
      </c>
      <c r="M19" t="str">
        <f>IF(A19="Epic",IF(Kalkulation!F26=0,"x",""),IF(OR(J19=0,A19="",B19=0),"x",""))</f>
        <v>x</v>
      </c>
    </row>
    <row r="20" spans="1:13">
      <c r="A20" t="str">
        <f>IF(OR(Kalkulation!C27="Service",Kalkulation!C27="Individual costs and external services"),"",IF(Kalkulation!B27=0,"Epic","Project-task"))</f>
        <v>Project-task</v>
      </c>
      <c r="B20" s="45" t="str">
        <f>IF(OR(Kalkulation!C27="Service",Kalkulation!C27="Individual costs and external services"),"",IF(Kalkulation!B27=0,Kalkulation!C27,""))</f>
        <v/>
      </c>
      <c r="C20" t="str">
        <f>IF(A20="","",IF(Kalkulation!B27=0,"ghx-label-1",""))</f>
        <v/>
      </c>
      <c r="D20" s="45" t="str">
        <f>IF(Kalkulation!B27=0,"",IF(A19="",IF(B18="",D18,B18),IF(B19="",D19,B19)))</f>
        <v>Project Management - PrkzZm</v>
      </c>
      <c r="E20">
        <f t="shared" si="3"/>
        <v>6017</v>
      </c>
      <c r="G20" s="45" t="str">
        <f>IF(Kalkulation!B27=0,IF(A20="Epic",B20," "),Kalkulation!C27)</f>
        <v>Team Meetings</v>
      </c>
      <c r="H20" t="str">
        <f t="shared" si="0"/>
        <v xml:space="preserve"> </v>
      </c>
      <c r="I20" t="str">
        <f t="shared" si="1"/>
        <v>Normal</v>
      </c>
      <c r="J20">
        <f>IF(OR(A20="",A20="Epic"),"",Kalkulation!F27*60*60)</f>
        <v>0</v>
      </c>
      <c r="K20">
        <f t="shared" si="2"/>
        <v>0</v>
      </c>
      <c r="L20" t="str">
        <f>CONCATENATE(Kalkulation!$C$3,": ",Kalkulation!$C$2,)</f>
        <v>write your component number(only integer): Projekt</v>
      </c>
      <c r="M20" t="str">
        <f>IF(A20="Epic",IF(Kalkulation!F27=0,"x",""),IF(OR(J20=0,A20="",B20=0),"x",""))</f>
        <v>x</v>
      </c>
    </row>
    <row r="21" spans="1:13">
      <c r="A21" t="str">
        <f>IF(OR(Kalkulation!C28="Service",Kalkulation!C28="Individual costs and external services"),"",IF(Kalkulation!B28=0,"Epic","Project-task"))</f>
        <v/>
      </c>
      <c r="B21" s="45" t="str">
        <f>IF(OR(Kalkulation!C28="Service",Kalkulation!C28="Individual costs and external services"),"",IF(Kalkulation!B28=0,Kalkulation!C28,""))</f>
        <v/>
      </c>
      <c r="C21" t="str">
        <f>IF(A21="","",IF(Kalkulation!B28=0,"ghx-label-1",""))</f>
        <v/>
      </c>
      <c r="D21" s="45" t="str">
        <f>IF(Kalkulation!B28=0,"",IF(A20="",IF(B19="",D19,B19),IF(B20="",D20,B20)))</f>
        <v/>
      </c>
      <c r="E21" t="str">
        <f t="shared" si="3"/>
        <v/>
      </c>
      <c r="G21" s="45" t="str">
        <f>IF(Kalkulation!B28=0,IF(A21="Epic",B21," "),Kalkulation!C28)</f>
        <v xml:space="preserve"> </v>
      </c>
      <c r="H21" t="str">
        <f t="shared" si="0"/>
        <v xml:space="preserve"> </v>
      </c>
      <c r="I21" t="str">
        <f t="shared" si="1"/>
        <v/>
      </c>
      <c r="J21" t="str">
        <f>IF(OR(A21="",A21="Epic"),"",Kalkulation!F28*60*60)</f>
        <v/>
      </c>
      <c r="K21" t="str">
        <f t="shared" si="2"/>
        <v/>
      </c>
      <c r="L21" t="str">
        <f>CONCATENATE(Kalkulation!$C$3,": ",Kalkulation!$C$2,)</f>
        <v>write your component number(only integer): Projekt</v>
      </c>
      <c r="M21" t="str">
        <f>IF(A21="Epic",IF(Kalkulation!F28=0,"x",""),IF(OR(J21=0,A21="",B21=0),"x",""))</f>
        <v>x</v>
      </c>
    </row>
    <row r="22" spans="1:13">
      <c r="A22" t="str">
        <f>IF(OR(Kalkulation!C29="Service",Kalkulation!C29="Individual costs and external services"),"",IF(Kalkulation!B29=0,"Epic","Project-task"))</f>
        <v>Project-task</v>
      </c>
      <c r="B22" s="45" t="str">
        <f>IF(OR(Kalkulation!C29="Service",Kalkulation!C29="Individual costs and external services"),"",IF(Kalkulation!B29=0,Kalkulation!C29,""))</f>
        <v/>
      </c>
      <c r="C22" t="str">
        <f>IF(A22="","",IF(Kalkulation!B29=0,"ghx-label-1",""))</f>
        <v/>
      </c>
      <c r="D22" s="45" t="str">
        <f>IF(Kalkulation!B29=0,"",IF(A21="",IF(B20="",D20,B20),IF(B21="",D21,B21)))</f>
        <v>Project Management - PrkzZm</v>
      </c>
      <c r="E22">
        <f t="shared" si="3"/>
        <v>6018</v>
      </c>
      <c r="G22" s="45">
        <f>IF(Kalkulation!B29=0,IF(A22="Epic",B22," "),Kalkulation!C29)</f>
        <v>0</v>
      </c>
      <c r="H22" t="str">
        <f t="shared" si="0"/>
        <v xml:space="preserve"> </v>
      </c>
      <c r="I22" t="str">
        <f t="shared" si="1"/>
        <v>Normal</v>
      </c>
      <c r="J22">
        <f>IF(OR(A22="",A22="Epic"),"",Kalkulation!F29*60*60)</f>
        <v>0</v>
      </c>
      <c r="K22">
        <f t="shared" si="2"/>
        <v>0</v>
      </c>
      <c r="L22" t="str">
        <f>CONCATENATE(Kalkulation!$C$3,": ",Kalkulation!$C$2,)</f>
        <v>write your component number(only integer): Projekt</v>
      </c>
      <c r="M22" t="str">
        <f>IF(A22="Epic",IF(Kalkulation!F29=0,"x",""),IF(OR(J22=0,A22="",B22=0),"x",""))</f>
        <v>x</v>
      </c>
    </row>
    <row r="23" spans="1:13">
      <c r="A23" t="str">
        <f>IF(OR(Kalkulation!C30="Service",Kalkulation!C30="Individual costs and external services"),"",IF(Kalkulation!B30=0,"Epic","Project-task"))</f>
        <v>Project-task</v>
      </c>
      <c r="B23" s="45" t="str">
        <f>IF(OR(Kalkulation!C30="Service",Kalkulation!C30="Individual costs and external services"),"",IF(Kalkulation!B30=0,Kalkulation!C30,""))</f>
        <v/>
      </c>
      <c r="C23" t="str">
        <f>IF(A23="","",IF(Kalkulation!B30=0,"ghx-label-1",""))</f>
        <v/>
      </c>
      <c r="D23" s="45" t="str">
        <f>IF(Kalkulation!B30=0,"",IF(A22="",IF(B21="",D21,B21),IF(B22="",D22,B22)))</f>
        <v>Project Management - PrkzZm</v>
      </c>
      <c r="E23">
        <f t="shared" si="3"/>
        <v>6019</v>
      </c>
      <c r="G23" s="45">
        <f>IF(Kalkulation!B30=0,IF(A23="Epic",B23," "),Kalkulation!C30)</f>
        <v>0</v>
      </c>
      <c r="H23" t="str">
        <f t="shared" si="0"/>
        <v xml:space="preserve"> </v>
      </c>
      <c r="I23" t="str">
        <f t="shared" si="1"/>
        <v>Normal</v>
      </c>
      <c r="J23">
        <f>IF(OR(A23="",A23="Epic"),"",Kalkulation!F30*60*60)</f>
        <v>0</v>
      </c>
      <c r="K23">
        <f t="shared" si="2"/>
        <v>0</v>
      </c>
      <c r="L23" t="str">
        <f>CONCATENATE(Kalkulation!$C$3,": ",Kalkulation!$C$2,)</f>
        <v>write your component number(only integer): Projekt</v>
      </c>
      <c r="M23" t="str">
        <f>IF(A23="Epic",IF(Kalkulation!F30=0,"x",""),IF(OR(J23=0,A23="",B23=0),"x",""))</f>
        <v>x</v>
      </c>
    </row>
    <row r="24" spans="1:13">
      <c r="A24" t="str">
        <f>IF(OR(Kalkulation!C31="Service",Kalkulation!C31="Individual costs and external services"),"",IF(Kalkulation!B31=0,"Epic","Project-task"))</f>
        <v>Project-task</v>
      </c>
      <c r="B24" s="45" t="str">
        <f>IF(OR(Kalkulation!C31="Service",Kalkulation!C31="Individual costs and external services"),"",IF(Kalkulation!B31=0,Kalkulation!C31,""))</f>
        <v/>
      </c>
      <c r="C24" t="str">
        <f>IF(A24="","",IF(Kalkulation!B31=0,"ghx-label-1",""))</f>
        <v/>
      </c>
      <c r="D24" s="45" t="str">
        <f>IF(Kalkulation!B31=0,"",IF(A23="",IF(B22="",D22,B22),IF(B23="",D23,B23)))</f>
        <v>Project Management - PrkzZm</v>
      </c>
      <c r="E24">
        <f t="shared" si="3"/>
        <v>6020</v>
      </c>
      <c r="G24" s="45">
        <f>IF(Kalkulation!B31=0,IF(A24="Epic",B24," "),Kalkulation!C31)</f>
        <v>0</v>
      </c>
      <c r="H24" t="str">
        <f t="shared" si="0"/>
        <v xml:space="preserve"> </v>
      </c>
      <c r="I24" t="str">
        <f t="shared" si="1"/>
        <v>Normal</v>
      </c>
      <c r="J24">
        <f>IF(OR(A24="",A24="Epic"),"",Kalkulation!F31*60*60)</f>
        <v>0</v>
      </c>
      <c r="K24">
        <f t="shared" si="2"/>
        <v>0</v>
      </c>
      <c r="L24" t="str">
        <f>CONCATENATE(Kalkulation!$C$3,": ",Kalkulation!$C$2,)</f>
        <v>write your component number(only integer): Projekt</v>
      </c>
      <c r="M24" t="str">
        <f>IF(A24="Epic",IF(Kalkulation!F31=0,"x",""),IF(OR(J24=0,A24="",B24=0),"x",""))</f>
        <v>x</v>
      </c>
    </row>
    <row r="25" spans="1:13">
      <c r="A25" t="str">
        <f>IF(OR(Kalkulation!C32="Service",Kalkulation!C32="Individual costs and external services"),"",IF(Kalkulation!B32=0,"Epic","Project-task"))</f>
        <v>Project-task</v>
      </c>
      <c r="B25" s="45" t="str">
        <f>IF(OR(Kalkulation!C32="Service",Kalkulation!C32="Individual costs and external services"),"",IF(Kalkulation!B32=0,Kalkulation!C32,""))</f>
        <v/>
      </c>
      <c r="C25" t="str">
        <f>IF(A25="","",IF(Kalkulation!B32=0,"ghx-label-1",""))</f>
        <v/>
      </c>
      <c r="D25" s="45" t="str">
        <f>IF(Kalkulation!B32=0,"",IF(A24="",IF(B23="",D23,B23),IF(B24="",D24,B24)))</f>
        <v>Project Management - PrkzZm</v>
      </c>
      <c r="E25">
        <f t="shared" si="3"/>
        <v>6021</v>
      </c>
      <c r="G25" s="45">
        <f>IF(Kalkulation!B32=0,IF(A25="Epic",B25," "),Kalkulation!C32)</f>
        <v>0</v>
      </c>
      <c r="H25" t="str">
        <f t="shared" si="0"/>
        <v xml:space="preserve"> </v>
      </c>
      <c r="I25" t="str">
        <f t="shared" si="1"/>
        <v>Normal</v>
      </c>
      <c r="J25">
        <f>IF(OR(A25="",A25="Epic"),"",Kalkulation!F32*60*60)</f>
        <v>0</v>
      </c>
      <c r="K25">
        <f t="shared" si="2"/>
        <v>0</v>
      </c>
      <c r="L25" t="str">
        <f>CONCATENATE(Kalkulation!$C$3,": ",Kalkulation!$C$2,)</f>
        <v>write your component number(only integer): Projekt</v>
      </c>
      <c r="M25" t="str">
        <f>IF(A25="Epic",IF(Kalkulation!F32=0,"x",""),IF(OR(J25=0,A25="",B25=0),"x",""))</f>
        <v>x</v>
      </c>
    </row>
    <row r="26" spans="1:13">
      <c r="A26" t="str">
        <f>IF(OR(Kalkulation!C33="Service",Kalkulation!C33="Individual costs and external services"),"",IF(Kalkulation!B33=0,"Epic","Project-task"))</f>
        <v>Project-task</v>
      </c>
      <c r="B26" s="45" t="str">
        <f>IF(OR(Kalkulation!C33="Service",Kalkulation!C33="Individual costs and external services"),"",IF(Kalkulation!B33=0,Kalkulation!C33,""))</f>
        <v/>
      </c>
      <c r="C26" t="str">
        <f>IF(A26="","",IF(Kalkulation!B33=0,"ghx-label-1",""))</f>
        <v/>
      </c>
      <c r="D26" s="45" t="str">
        <f>IF(Kalkulation!B33=0,"",IF(A25="",IF(B24="",D24,B24),IF(B25="",D25,B25)))</f>
        <v>Project Management - PrkzZm</v>
      </c>
      <c r="E26">
        <f t="shared" si="3"/>
        <v>6022</v>
      </c>
      <c r="G26" s="45">
        <f>IF(Kalkulation!B33=0,IF(A26="Epic",B26," "),Kalkulation!C33)</f>
        <v>0</v>
      </c>
      <c r="H26" t="str">
        <f t="shared" si="0"/>
        <v xml:space="preserve"> </v>
      </c>
      <c r="I26" t="str">
        <f t="shared" si="1"/>
        <v>Normal</v>
      </c>
      <c r="J26">
        <f>IF(OR(A26="",A26="Epic"),"",Kalkulation!F33*60*60)</f>
        <v>0</v>
      </c>
      <c r="K26">
        <f t="shared" si="2"/>
        <v>0</v>
      </c>
      <c r="L26" t="str">
        <f>CONCATENATE(Kalkulation!$C$3,": ",Kalkulation!$C$2,)</f>
        <v>write your component number(only integer): Projekt</v>
      </c>
      <c r="M26" t="str">
        <f>IF(A26="Epic",IF(Kalkulation!F33=0,"x",""),IF(OR(J26=0,A26="",B26=0),"x",""))</f>
        <v>x</v>
      </c>
    </row>
    <row r="27" spans="1:13">
      <c r="A27" t="str">
        <f>IF(OR(Kalkulation!C34="Service",Kalkulation!C34="Individual costs and external services"),"",IF(Kalkulation!B34=0,"Epic","Project-task"))</f>
        <v>Project-task</v>
      </c>
      <c r="B27" s="45" t="str">
        <f>IF(OR(Kalkulation!C34="Service",Kalkulation!C34="Individual costs and external services"),"",IF(Kalkulation!B34=0,Kalkulation!C34,""))</f>
        <v/>
      </c>
      <c r="C27" t="str">
        <f>IF(A27="","",IF(Kalkulation!B34=0,"ghx-label-1",""))</f>
        <v/>
      </c>
      <c r="D27" s="45" t="str">
        <f>IF(Kalkulation!B34=0,"",IF(A26="",IF(B25="",D25,B25),IF(B26="",D26,B26)))</f>
        <v>Project Management - PrkzZm</v>
      </c>
      <c r="E27">
        <f t="shared" si="3"/>
        <v>6023</v>
      </c>
      <c r="G27" s="45">
        <f>IF(Kalkulation!B34=0,IF(A27="Epic",B27," "),Kalkulation!C34)</f>
        <v>0</v>
      </c>
      <c r="H27" t="str">
        <f t="shared" si="0"/>
        <v xml:space="preserve"> </v>
      </c>
      <c r="I27" t="str">
        <f t="shared" si="1"/>
        <v>Normal</v>
      </c>
      <c r="J27">
        <f>IF(OR(A27="",A27="Epic"),"",Kalkulation!F34*60*60)</f>
        <v>0</v>
      </c>
      <c r="K27">
        <f t="shared" si="2"/>
        <v>0</v>
      </c>
      <c r="L27" t="str">
        <f>CONCATENATE(Kalkulation!$C$3,": ",Kalkulation!$C$2,)</f>
        <v>write your component number(only integer): Projekt</v>
      </c>
      <c r="M27" t="str">
        <f>IF(A27="Epic",IF(Kalkulation!F34=0,"x",""),IF(OR(J27=0,A27="",B27=0),"x",""))</f>
        <v>x</v>
      </c>
    </row>
    <row r="28" spans="1:13" ht="26.4">
      <c r="A28" t="str">
        <f>IF(OR(Kalkulation!C35="Service",Kalkulation!C35="Individual costs and external services"),"",IF(Kalkulation!B35=0,"Epic","Project-task"))</f>
        <v>Epic</v>
      </c>
      <c r="B28" s="45" t="str">
        <f>IF(OR(Kalkulation!C35="Service",Kalkulation!C35="Individual costs and external services"),"",IF(Kalkulation!B35=0,Kalkulation!C35,""))</f>
        <v>Detailed concept and system design - PrkzZm</v>
      </c>
      <c r="C28" t="str">
        <f>IF(A28="","",IF(Kalkulation!B35=0,"ghx-label-1",""))</f>
        <v>ghx-label-1</v>
      </c>
      <c r="D28" s="45" t="str">
        <f>IF(Kalkulation!B35=0,"",IF(A27="",IF(B26="",D26,B26),IF(B27="",D27,B27)))</f>
        <v/>
      </c>
      <c r="E28">
        <f t="shared" si="3"/>
        <v>6024</v>
      </c>
      <c r="G28" s="45" t="str">
        <f>IF(Kalkulation!B35=0,IF(A28="Epic",B28," "),Kalkulation!C35)</f>
        <v>Detailed concept and system design - PrkzZm</v>
      </c>
      <c r="H28" t="str">
        <f t="shared" si="0"/>
        <v>Detailed concept and system design - PrkzZm</v>
      </c>
      <c r="I28" t="str">
        <f t="shared" si="1"/>
        <v>Normal</v>
      </c>
      <c r="J28" t="str">
        <f>IF(OR(A28="",A28="Epic"),"",Kalkulation!F35*60*60)</f>
        <v/>
      </c>
      <c r="K28" t="str">
        <f t="shared" si="2"/>
        <v/>
      </c>
      <c r="L28" t="str">
        <f>CONCATENATE(Kalkulation!$C$3,": ",Kalkulation!$C$2,)</f>
        <v>write your component number(only integer): Projekt</v>
      </c>
      <c r="M28" t="str">
        <f>IF(A28="Epic",IF(Kalkulation!F35=0,"x",""),IF(OR(J28=0,A28="",B28=0),"x",""))</f>
        <v>x</v>
      </c>
    </row>
    <row r="29" spans="1:13">
      <c r="A29" t="str">
        <f>IF(OR(Kalkulation!C36="Service",Kalkulation!C36="Individual costs and external services"),"",IF(Kalkulation!B36=0,"Epic","Project-task"))</f>
        <v/>
      </c>
      <c r="B29" s="45" t="str">
        <f>IF(OR(Kalkulation!C36="Service",Kalkulation!C36="Individual costs and external services"),"",IF(Kalkulation!B36=0,Kalkulation!C36,""))</f>
        <v/>
      </c>
      <c r="C29" t="str">
        <f>IF(A29="","",IF(Kalkulation!B36=0,"ghx-label-1",""))</f>
        <v/>
      </c>
      <c r="D29" s="45" t="str">
        <f>IF(Kalkulation!B36=0,"",IF(A28="",IF(B27="",D27,B27),IF(B28="",D28,B28)))</f>
        <v/>
      </c>
      <c r="E29" t="str">
        <f t="shared" si="3"/>
        <v/>
      </c>
      <c r="G29" s="45" t="str">
        <f>IF(Kalkulation!B36=0,IF(A29="Epic",B29," "),Kalkulation!C36)</f>
        <v xml:space="preserve"> </v>
      </c>
      <c r="H29" t="str">
        <f t="shared" si="0"/>
        <v xml:space="preserve"> </v>
      </c>
      <c r="I29" t="str">
        <f t="shared" si="1"/>
        <v/>
      </c>
      <c r="J29" t="str">
        <f>IF(OR(A29="",A29="Epic"),"",Kalkulation!F36*60*60)</f>
        <v/>
      </c>
      <c r="K29" t="str">
        <f t="shared" si="2"/>
        <v/>
      </c>
      <c r="L29" t="str">
        <f>CONCATENATE(Kalkulation!$C$3,": ",Kalkulation!$C$2,)</f>
        <v>write your component number(only integer): Projekt</v>
      </c>
      <c r="M29" t="str">
        <f>IF(A29="Epic",IF(Kalkulation!F36=0,"x",""),IF(OR(J29=0,A29="",B29=0),"x",""))</f>
        <v>x</v>
      </c>
    </row>
    <row r="30" spans="1:13" ht="26.4">
      <c r="A30" t="str">
        <f>IF(OR(Kalkulation!C37="Service",Kalkulation!C37="Individual costs and external services"),"",IF(Kalkulation!B37=0,"Epic","Project-task"))</f>
        <v>Project-task</v>
      </c>
      <c r="B30" s="45" t="str">
        <f>IF(OR(Kalkulation!C37="Service",Kalkulation!C37="Individual costs and external services"),"",IF(Kalkulation!B37=0,Kalkulation!C37,""))</f>
        <v/>
      </c>
      <c r="C30" t="str">
        <f>IF(A30="","",IF(Kalkulation!B37=0,"ghx-label-1",""))</f>
        <v/>
      </c>
      <c r="D30" s="45" t="str">
        <f>IF(Kalkulation!B37=0,"",IF(A29="",IF(B28="",D28,B28),IF(B29="",D29,B29)))</f>
        <v>Detailed concept and system design - PrkzZm</v>
      </c>
      <c r="E30">
        <f t="shared" si="3"/>
        <v>6025</v>
      </c>
      <c r="G30" s="45" t="str">
        <f>IF(Kalkulation!B37=0,IF(A30="Epic",B30," "),Kalkulation!C37)</f>
        <v>Familiarization with product functions / data</v>
      </c>
      <c r="H30" t="str">
        <f t="shared" si="0"/>
        <v xml:space="preserve"> </v>
      </c>
      <c r="I30" t="str">
        <f t="shared" si="1"/>
        <v>Normal</v>
      </c>
      <c r="J30">
        <f>IF(OR(A30="",A30="Epic"),"",Kalkulation!F37*60*60)</f>
        <v>0</v>
      </c>
      <c r="K30">
        <f t="shared" si="2"/>
        <v>0</v>
      </c>
      <c r="L30" t="str">
        <f>CONCATENATE(Kalkulation!$C$3,": ",Kalkulation!$C$2,)</f>
        <v>write your component number(only integer): Projekt</v>
      </c>
      <c r="M30" t="str">
        <f>IF(A30="Epic",IF(Kalkulation!F37=0,"x",""),IF(OR(J30=0,A30="",B30=0),"x",""))</f>
        <v>x</v>
      </c>
    </row>
    <row r="31" spans="1:13" ht="26.4">
      <c r="A31" t="str">
        <f>IF(OR(Kalkulation!C38="Service",Kalkulation!C38="Individual costs and external services"),"",IF(Kalkulation!B38=0,"Epic","Project-task"))</f>
        <v>Project-task</v>
      </c>
      <c r="B31" s="45" t="str">
        <f>IF(OR(Kalkulation!C38="Service",Kalkulation!C38="Individual costs and external services"),"",IF(Kalkulation!B38=0,Kalkulation!C38,""))</f>
        <v/>
      </c>
      <c r="C31" t="str">
        <f>IF(A31="","",IF(Kalkulation!B38=0,"ghx-label-1",""))</f>
        <v/>
      </c>
      <c r="D31" s="45" t="str">
        <f>IF(Kalkulation!B38=0,"",IF(A30="",IF(B29="",D29,B29),IF(B30="",D30,B30)))</f>
        <v>Detailed concept and system design - PrkzZm</v>
      </c>
      <c r="E31">
        <f t="shared" si="3"/>
        <v>6026</v>
      </c>
      <c r="G31" s="45" t="str">
        <f>IF(Kalkulation!B38=0,IF(A31="Epic",B31," "),Kalkulation!C38)</f>
        <v>CONSENS - Environment Analysis</v>
      </c>
      <c r="H31" t="str">
        <f t="shared" si="0"/>
        <v xml:space="preserve"> </v>
      </c>
      <c r="I31" t="str">
        <f t="shared" si="1"/>
        <v>Normal</v>
      </c>
      <c r="J31">
        <f>IF(OR(A31="",A31="Epic"),"",Kalkulation!F38*60*60)</f>
        <v>0</v>
      </c>
      <c r="K31">
        <f t="shared" si="2"/>
        <v>0</v>
      </c>
      <c r="L31" t="str">
        <f>CONCATENATE(Kalkulation!$C$3,": ",Kalkulation!$C$2,)</f>
        <v>write your component number(only integer): Projekt</v>
      </c>
      <c r="M31" t="str">
        <f>IF(A31="Epic",IF(Kalkulation!F38=0,"x",""),IF(OR(J31=0,A31="",B31=0),"x",""))</f>
        <v>x</v>
      </c>
    </row>
    <row r="32" spans="1:13" ht="26.4">
      <c r="A32" t="str">
        <f>IF(OR(Kalkulation!C39="Service",Kalkulation!C39="Individual costs and external services"),"",IF(Kalkulation!B39=0,"Epic","Project-task"))</f>
        <v>Project-task</v>
      </c>
      <c r="B32" s="45" t="str">
        <f>IF(OR(Kalkulation!C39="Service",Kalkulation!C39="Individual costs and external services"),"",IF(Kalkulation!B39=0,Kalkulation!C39,""))</f>
        <v/>
      </c>
      <c r="C32" t="str">
        <f>IF(A32="","",IF(Kalkulation!B39=0,"ghx-label-1",""))</f>
        <v/>
      </c>
      <c r="D32" s="45" t="str">
        <f>IF(Kalkulation!B39=0,"",IF(A31="",IF(B30="",D30,B30),IF(B31="",D31,B31)))</f>
        <v>Detailed concept and system design - PrkzZm</v>
      </c>
      <c r="E32">
        <f t="shared" si="3"/>
        <v>6027</v>
      </c>
      <c r="G32" s="45" t="str">
        <f>IF(Kalkulation!B39=0,IF(A32="Epic",B32," "),Kalkulation!C39)</f>
        <v>CONSENS - Active Structure</v>
      </c>
      <c r="H32" t="str">
        <f t="shared" si="0"/>
        <v xml:space="preserve"> </v>
      </c>
      <c r="I32" t="str">
        <f t="shared" si="1"/>
        <v>Normal</v>
      </c>
      <c r="J32">
        <f>IF(OR(A32="",A32="Epic"),"",Kalkulation!F39*60*60)</f>
        <v>0</v>
      </c>
      <c r="K32">
        <f t="shared" si="2"/>
        <v>0</v>
      </c>
      <c r="L32" t="str">
        <f>CONCATENATE(Kalkulation!$C$3,": ",Kalkulation!$C$2,)</f>
        <v>write your component number(only integer): Projekt</v>
      </c>
      <c r="M32" t="str">
        <f>IF(A32="Epic",IF(Kalkulation!F39=0,"x",""),IF(OR(J32=0,A32="",B32=0),"x",""))</f>
        <v>x</v>
      </c>
    </row>
    <row r="33" spans="1:13" ht="26.4">
      <c r="A33" t="str">
        <f>IF(OR(Kalkulation!C40="Service",Kalkulation!C40="Individual costs and external services"),"",IF(Kalkulation!B40=0,"Epic","Project-task"))</f>
        <v>Project-task</v>
      </c>
      <c r="B33" s="45" t="str">
        <f>IF(OR(Kalkulation!C40="Service",Kalkulation!C40="Individual costs and external services"),"",IF(Kalkulation!B40=0,Kalkulation!C40,""))</f>
        <v/>
      </c>
      <c r="C33" t="str">
        <f>IF(A33="","",IF(Kalkulation!B40=0,"ghx-label-1",""))</f>
        <v/>
      </c>
      <c r="D33" s="45" t="str">
        <f>IF(Kalkulation!B40=0,"",IF(A32="",IF(B31="",D31,B31),IF(B32="",D32,B32)))</f>
        <v>Detailed concept and system design - PrkzZm</v>
      </c>
      <c r="E33">
        <f t="shared" si="3"/>
        <v>6028</v>
      </c>
      <c r="G33" s="45" t="str">
        <f>IF(Kalkulation!B40=0,IF(A33="Epic",B33," "),Kalkulation!C40)</f>
        <v>CONSENS - Creation and evaluation of the requirements tracking list</v>
      </c>
      <c r="H33" t="str">
        <f t="shared" si="0"/>
        <v xml:space="preserve"> </v>
      </c>
      <c r="I33" t="str">
        <f t="shared" si="1"/>
        <v>Normal</v>
      </c>
      <c r="J33">
        <f>IF(OR(A33="",A33="Epic"),"",Kalkulation!F40*60*60)</f>
        <v>0</v>
      </c>
      <c r="K33">
        <f t="shared" si="2"/>
        <v>0</v>
      </c>
      <c r="L33" t="str">
        <f>CONCATENATE(Kalkulation!$C$3,": ",Kalkulation!$C$2,)</f>
        <v>write your component number(only integer): Projekt</v>
      </c>
      <c r="M33" t="str">
        <f>IF(A33="Epic",IF(Kalkulation!F40=0,"x",""),IF(OR(J33=0,A33="",B33=0),"x",""))</f>
        <v>x</v>
      </c>
    </row>
    <row r="34" spans="1:13" ht="26.4">
      <c r="A34" t="str">
        <f>IF(OR(Kalkulation!C41="Service",Kalkulation!C41="Individual costs and external services"),"",IF(Kalkulation!B41=0,"Epic","Project-task"))</f>
        <v>Project-task</v>
      </c>
      <c r="B34" s="45" t="str">
        <f>IF(OR(Kalkulation!C41="Service",Kalkulation!C41="Individual costs and external services"),"",IF(Kalkulation!B41=0,Kalkulation!C41,""))</f>
        <v/>
      </c>
      <c r="C34" t="str">
        <f>IF(A34="","",IF(Kalkulation!B41=0,"ghx-label-1",""))</f>
        <v/>
      </c>
      <c r="D34" s="45" t="str">
        <f>IF(Kalkulation!B41=0,"",IF(A33="",IF(B32="",D32,B32),IF(B33="",D33,B33)))</f>
        <v>Detailed concept and system design - PrkzZm</v>
      </c>
      <c r="E34">
        <f t="shared" si="3"/>
        <v>6029</v>
      </c>
      <c r="G34" s="45" t="str">
        <f>IF(Kalkulation!B41=0,IF(A34="Epic",B34," "),Kalkulation!C41)</f>
        <v>Induction, analysis of standards / guidelines</v>
      </c>
      <c r="H34" t="str">
        <f t="shared" si="0"/>
        <v xml:space="preserve"> </v>
      </c>
      <c r="I34" t="str">
        <f t="shared" si="1"/>
        <v>Normal</v>
      </c>
      <c r="J34">
        <f>IF(OR(A34="",A34="Epic"),"",Kalkulation!F41*60*60)</f>
        <v>0</v>
      </c>
      <c r="K34">
        <f t="shared" si="2"/>
        <v>0</v>
      </c>
      <c r="L34" t="str">
        <f>CONCATENATE(Kalkulation!$C$3,": ",Kalkulation!$C$2,)</f>
        <v>write your component number(only integer): Projekt</v>
      </c>
      <c r="M34" t="str">
        <f>IF(A34="Epic",IF(Kalkulation!F41=0,"x",""),IF(OR(J34=0,A34="",B34=0),"x",""))</f>
        <v>x</v>
      </c>
    </row>
    <row r="35" spans="1:13" ht="26.4">
      <c r="A35" t="str">
        <f>IF(OR(Kalkulation!C42="Service",Kalkulation!C42="Individual costs and external services"),"",IF(Kalkulation!B42=0,"Epic","Project-task"))</f>
        <v>Project-task</v>
      </c>
      <c r="B35" s="45" t="str">
        <f>IF(OR(Kalkulation!C42="Service",Kalkulation!C42="Individual costs and external services"),"",IF(Kalkulation!B42=0,Kalkulation!C42,""))</f>
        <v/>
      </c>
      <c r="C35" t="str">
        <f>IF(A35="","",IF(Kalkulation!B42=0,"ghx-label-1",""))</f>
        <v/>
      </c>
      <c r="D35" s="45" t="str">
        <f>IF(Kalkulation!B42=0,"",IF(A34="",IF(B33="",D33,B33),IF(B34="",D34,B34)))</f>
        <v>Detailed concept and system design - PrkzZm</v>
      </c>
      <c r="E35">
        <f t="shared" si="3"/>
        <v>6030</v>
      </c>
      <c r="G35" s="45" t="str">
        <f>IF(Kalkulation!B42=0,IF(A35="Epic",B35," "),Kalkulation!C42)</f>
        <v>Creation of detailed concept - hardware (incl. microcontroller)</v>
      </c>
      <c r="H35" t="str">
        <f t="shared" si="0"/>
        <v xml:space="preserve"> </v>
      </c>
      <c r="I35" t="str">
        <f t="shared" si="1"/>
        <v>Normal</v>
      </c>
      <c r="J35">
        <f>IF(OR(A35="",A35="Epic"),"",Kalkulation!F42*60*60)</f>
        <v>0</v>
      </c>
      <c r="K35">
        <f t="shared" si="2"/>
        <v>0</v>
      </c>
      <c r="L35" t="str">
        <f>CONCATENATE(Kalkulation!$C$3,": ",Kalkulation!$C$2,)</f>
        <v>write your component number(only integer): Projekt</v>
      </c>
      <c r="M35" t="str">
        <f>IF(A35="Epic",IF(Kalkulation!F42=0,"x",""),IF(OR(J35=0,A35="",B35=0),"x",""))</f>
        <v>x</v>
      </c>
    </row>
    <row r="36" spans="1:13" ht="26.4">
      <c r="A36" t="str">
        <f>IF(OR(Kalkulation!C43="Service",Kalkulation!C43="Individual costs and external services"),"",IF(Kalkulation!B43=0,"Epic","Project-task"))</f>
        <v>Project-task</v>
      </c>
      <c r="B36" s="45" t="str">
        <f>IF(OR(Kalkulation!C43="Service",Kalkulation!C43="Individual costs and external services"),"",IF(Kalkulation!B43=0,Kalkulation!C43,""))</f>
        <v/>
      </c>
      <c r="C36" t="str">
        <f>IF(A36="","",IF(Kalkulation!B43=0,"ghx-label-1",""))</f>
        <v/>
      </c>
      <c r="D36" s="45" t="str">
        <f>IF(Kalkulation!B43=0,"",IF(A35="",IF(B34="",D34,B34),IF(B35="",D35,B35)))</f>
        <v>Detailed concept and system design - PrkzZm</v>
      </c>
      <c r="E36">
        <f t="shared" si="3"/>
        <v>6031</v>
      </c>
      <c r="G36" s="45" t="str">
        <f>IF(Kalkulation!B43=0,IF(A36="Epic",B36," "),Kalkulation!C43)</f>
        <v>Creation of detailed concept - software (incl. ModBus)</v>
      </c>
      <c r="H36" t="str">
        <f t="shared" si="0"/>
        <v xml:space="preserve"> </v>
      </c>
      <c r="I36" t="str">
        <f t="shared" si="1"/>
        <v>Normal</v>
      </c>
      <c r="J36">
        <f>IF(OR(A36="",A36="Epic"),"",Kalkulation!F43*60*60)</f>
        <v>0</v>
      </c>
      <c r="K36">
        <f t="shared" si="2"/>
        <v>0</v>
      </c>
      <c r="L36" t="str">
        <f>CONCATENATE(Kalkulation!$C$3,": ",Kalkulation!$C$2,)</f>
        <v>write your component number(only integer): Projekt</v>
      </c>
      <c r="M36" t="str">
        <f>IF(A36="Epic",IF(Kalkulation!F43=0,"x",""),IF(OR(J36=0,A36="",B36=0),"x",""))</f>
        <v>x</v>
      </c>
    </row>
    <row r="37" spans="1:13" ht="26.4">
      <c r="A37" t="str">
        <f>IF(OR(Kalkulation!C44="Service",Kalkulation!C44="Individual costs and external services"),"",IF(Kalkulation!B44=0,"Epic","Project-task"))</f>
        <v>Project-task</v>
      </c>
      <c r="B37" s="45" t="str">
        <f>IF(OR(Kalkulation!C44="Service",Kalkulation!C44="Individual costs and external services"),"",IF(Kalkulation!B44=0,Kalkulation!C44,""))</f>
        <v/>
      </c>
      <c r="C37" t="str">
        <f>IF(A37="","",IF(Kalkulation!B44=0,"ghx-label-1",""))</f>
        <v/>
      </c>
      <c r="D37" s="45" t="str">
        <f>IF(Kalkulation!B44=0,"",IF(A36="",IF(B35="",D35,B35),IF(B36="",D36,B36)))</f>
        <v>Detailed concept and system design - PrkzZm</v>
      </c>
      <c r="E37">
        <f t="shared" si="3"/>
        <v>6032</v>
      </c>
      <c r="G37" s="45" t="str">
        <f>IF(Kalkulation!B44=0,IF(A37="Epic",B37," "),Kalkulation!C44)</f>
        <v>Creation of a production concept</v>
      </c>
      <c r="H37" t="str">
        <f t="shared" si="0"/>
        <v xml:space="preserve"> </v>
      </c>
      <c r="I37" t="str">
        <f t="shared" si="1"/>
        <v>Normal</v>
      </c>
      <c r="J37">
        <f>IF(OR(A37="",A37="Epic"),"",Kalkulation!F44*60*60)</f>
        <v>0</v>
      </c>
      <c r="K37">
        <f t="shared" si="2"/>
        <v>0</v>
      </c>
      <c r="L37" t="str">
        <f>CONCATENATE(Kalkulation!$C$3,": ",Kalkulation!$C$2,)</f>
        <v>write your component number(only integer): Projekt</v>
      </c>
      <c r="M37" t="str">
        <f>IF(A37="Epic",IF(Kalkulation!F44=0,"x",""),IF(OR(J37=0,A37="",B37=0),"x",""))</f>
        <v>x</v>
      </c>
    </row>
    <row r="38" spans="1:13" ht="26.4">
      <c r="A38" t="str">
        <f>IF(OR(Kalkulation!C45="Service",Kalkulation!C45="Individual costs and external services"),"",IF(Kalkulation!B45=0,"Epic","Project-task"))</f>
        <v>Project-task</v>
      </c>
      <c r="B38" s="45" t="str">
        <f>IF(OR(Kalkulation!C45="Service",Kalkulation!C45="Individual costs and external services"),"",IF(Kalkulation!B45=0,Kalkulation!C45,""))</f>
        <v/>
      </c>
      <c r="C38" t="str">
        <f>IF(A38="","",IF(Kalkulation!B45=0,"ghx-label-1",""))</f>
        <v/>
      </c>
      <c r="D38" s="45" t="str">
        <f>IF(Kalkulation!B45=0,"",IF(A37="",IF(B36="",D36,B36),IF(B37="",D37,B37)))</f>
        <v>Detailed concept and system design - PrkzZm</v>
      </c>
      <c r="E38">
        <f t="shared" si="3"/>
        <v>6033</v>
      </c>
      <c r="G38" s="45" t="str">
        <f>IF(Kalkulation!B45=0,IF(A38="Epic",B38," "),Kalkulation!C45)</f>
        <v>Creation of conformity and testing concept</v>
      </c>
      <c r="H38" t="str">
        <f t="shared" si="0"/>
        <v xml:space="preserve"> </v>
      </c>
      <c r="I38" t="str">
        <f t="shared" si="1"/>
        <v>Normal</v>
      </c>
      <c r="J38">
        <f>IF(OR(A38="",A38="Epic"),"",Kalkulation!F45*60*60)</f>
        <v>0</v>
      </c>
      <c r="K38">
        <f t="shared" si="2"/>
        <v>0</v>
      </c>
      <c r="L38" t="str">
        <f>CONCATENATE(Kalkulation!$C$3,": ",Kalkulation!$C$2,)</f>
        <v>write your component number(only integer): Projekt</v>
      </c>
      <c r="M38" t="str">
        <f>IF(A38="Epic",IF(Kalkulation!F45=0,"x",""),IF(OR(J38=0,A38="",B38=0),"x",""))</f>
        <v>x</v>
      </c>
    </row>
    <row r="39" spans="1:13" ht="26.4">
      <c r="A39" t="str">
        <f>IF(OR(Kalkulation!C46="Service",Kalkulation!C46="Individual costs and external services"),"",IF(Kalkulation!B46=0,"Epic","Project-task"))</f>
        <v>Project-task</v>
      </c>
      <c r="B39" s="45" t="str">
        <f>IF(OR(Kalkulation!C46="Service",Kalkulation!C46="Individual costs and external services"),"",IF(Kalkulation!B46=0,Kalkulation!C46,""))</f>
        <v/>
      </c>
      <c r="C39" t="str">
        <f>IF(A39="","",IF(Kalkulation!B46=0,"ghx-label-1",""))</f>
        <v/>
      </c>
      <c r="D39" s="45" t="str">
        <f>IF(Kalkulation!B46=0,"",IF(A38="",IF(B37="",D37,B37),IF(B38="",D38,B38)))</f>
        <v>Detailed concept and system design - PrkzZm</v>
      </c>
      <c r="E39">
        <f t="shared" si="3"/>
        <v>6034</v>
      </c>
      <c r="G39" s="45" t="str">
        <f>IF(Kalkulation!B46=0,IF(A39="Epic",B39," "),Kalkulation!C46)</f>
        <v>Creation of acceptance specification for hardware</v>
      </c>
      <c r="H39" t="str">
        <f t="shared" si="0"/>
        <v xml:space="preserve"> </v>
      </c>
      <c r="I39" t="str">
        <f t="shared" si="1"/>
        <v>Normal</v>
      </c>
      <c r="J39">
        <f>IF(OR(A39="",A39="Epic"),"",Kalkulation!F46*60*60)</f>
        <v>0</v>
      </c>
      <c r="K39">
        <f t="shared" si="2"/>
        <v>0</v>
      </c>
      <c r="L39" t="str">
        <f>CONCATENATE(Kalkulation!$C$3,": ",Kalkulation!$C$2,)</f>
        <v>write your component number(only integer): Projekt</v>
      </c>
      <c r="M39" t="str">
        <f>IF(A39="Epic",IF(Kalkulation!F46=0,"x",""),IF(OR(J39=0,A39="",B39=0),"x",""))</f>
        <v>x</v>
      </c>
    </row>
    <row r="40" spans="1:13" ht="26.4">
      <c r="A40" t="str">
        <f>IF(OR(Kalkulation!C47="Service",Kalkulation!C47="Individual costs and external services"),"",IF(Kalkulation!B47=0,"Epic","Project-task"))</f>
        <v>Project-task</v>
      </c>
      <c r="B40" s="45" t="str">
        <f>IF(OR(Kalkulation!C47="Service",Kalkulation!C47="Individual costs and external services"),"",IF(Kalkulation!B47=0,Kalkulation!C47,""))</f>
        <v/>
      </c>
      <c r="C40" t="str">
        <f>IF(A40="","",IF(Kalkulation!B47=0,"ghx-label-1",""))</f>
        <v/>
      </c>
      <c r="D40" s="45" t="str">
        <f>IF(Kalkulation!B47=0,"",IF(A39="",IF(B38="",D38,B38),IF(B39="",D39,B39)))</f>
        <v>Detailed concept and system design - PrkzZm</v>
      </c>
      <c r="E40">
        <f t="shared" si="3"/>
        <v>6035</v>
      </c>
      <c r="G40" s="45" t="str">
        <f>IF(Kalkulation!B47=0,IF(A40="Epic",B40," "),Kalkulation!C47)</f>
        <v>Creation of acceptance specification software</v>
      </c>
      <c r="H40" t="str">
        <f t="shared" si="0"/>
        <v xml:space="preserve"> </v>
      </c>
      <c r="I40" t="str">
        <f t="shared" si="1"/>
        <v>Normal</v>
      </c>
      <c r="J40">
        <f>IF(OR(A40="",A40="Epic"),"",Kalkulation!F47*60*60)</f>
        <v>0</v>
      </c>
      <c r="K40">
        <f t="shared" si="2"/>
        <v>0</v>
      </c>
      <c r="L40" t="str">
        <f>CONCATENATE(Kalkulation!$C$3,": ",Kalkulation!$C$2,)</f>
        <v>write your component number(only integer): Projekt</v>
      </c>
      <c r="M40" t="str">
        <f>IF(A40="Epic",IF(Kalkulation!F47=0,"x",""),IF(OR(J40=0,A40="",B40=0),"x",""))</f>
        <v>x</v>
      </c>
    </row>
    <row r="41" spans="1:13" ht="26.4">
      <c r="A41" t="str">
        <f>IF(OR(Kalkulation!C48="Service",Kalkulation!C48="Individual costs and external services"),"",IF(Kalkulation!B48=0,"Epic","Project-task"))</f>
        <v>Project-task</v>
      </c>
      <c r="B41" s="45" t="str">
        <f>IF(OR(Kalkulation!C48="Service",Kalkulation!C48="Individual costs and external services"),"",IF(Kalkulation!B48=0,Kalkulation!C48,""))</f>
        <v/>
      </c>
      <c r="C41" t="str">
        <f>IF(A41="","",IF(Kalkulation!B48=0,"ghx-label-1",""))</f>
        <v/>
      </c>
      <c r="D41" s="45" t="str">
        <f>IF(Kalkulation!B48=0,"",IF(A40="",IF(B39="",D39,B39),IF(B40="",D40,B40)))</f>
        <v>Detailed concept and system design - PrkzZm</v>
      </c>
      <c r="E41">
        <f t="shared" si="3"/>
        <v>6036</v>
      </c>
      <c r="G41" s="45" t="str">
        <f>IF(Kalkulation!B48=0,IF(A41="Epic",B41," "),Kalkulation!C48)</f>
        <v>Review Product Costing</v>
      </c>
      <c r="H41" t="str">
        <f t="shared" si="0"/>
        <v xml:space="preserve"> </v>
      </c>
      <c r="I41" t="str">
        <f t="shared" si="1"/>
        <v>Normal</v>
      </c>
      <c r="J41">
        <f>IF(OR(A41="",A41="Epic"),"",Kalkulation!F48*60*60)</f>
        <v>0</v>
      </c>
      <c r="K41">
        <f t="shared" si="2"/>
        <v>0</v>
      </c>
      <c r="L41" t="str">
        <f>CONCATENATE(Kalkulation!$C$3,": ",Kalkulation!$C$2,)</f>
        <v>write your component number(only integer): Projekt</v>
      </c>
      <c r="M41" t="str">
        <f>IF(A41="Epic",IF(Kalkulation!F48=0,"x",""),IF(OR(J41=0,A41="",B41=0),"x",""))</f>
        <v>x</v>
      </c>
    </row>
    <row r="42" spans="1:13" ht="26.4">
      <c r="A42" t="str">
        <f>IF(OR(Kalkulation!C49="Service",Kalkulation!C49="Individual costs and external services"),"",IF(Kalkulation!B49=0,"Epic","Project-task"))</f>
        <v>Project-task</v>
      </c>
      <c r="B42" s="45" t="str">
        <f>IF(OR(Kalkulation!C49="Service",Kalkulation!C49="Individual costs and external services"),"",IF(Kalkulation!B49=0,Kalkulation!C49,""))</f>
        <v/>
      </c>
      <c r="C42" t="str">
        <f>IF(A42="","",IF(Kalkulation!B49=0,"ghx-label-1",""))</f>
        <v/>
      </c>
      <c r="D42" s="45" t="str">
        <f>IF(Kalkulation!B49=0,"",IF(A41="",IF(B40="",D40,B40),IF(B41="",D41,B41)))</f>
        <v>Detailed concept and system design - PrkzZm</v>
      </c>
      <c r="E42">
        <f t="shared" si="3"/>
        <v>6037</v>
      </c>
      <c r="G42" s="45" t="str">
        <f>IF(Kalkulation!B49=0,IF(A42="Epic",B42," "),Kalkulation!C49)</f>
        <v>Creation of product specifications</v>
      </c>
      <c r="H42" t="str">
        <f t="shared" si="0"/>
        <v xml:space="preserve"> </v>
      </c>
      <c r="I42" t="str">
        <f t="shared" si="1"/>
        <v>Normal</v>
      </c>
      <c r="J42">
        <f>IF(OR(A42="",A42="Epic"),"",Kalkulation!F49*60*60)</f>
        <v>0</v>
      </c>
      <c r="K42">
        <f t="shared" si="2"/>
        <v>0</v>
      </c>
      <c r="L42" t="str">
        <f>CONCATENATE(Kalkulation!$C$3,": ",Kalkulation!$C$2,)</f>
        <v>write your component number(only integer): Projekt</v>
      </c>
      <c r="M42" t="str">
        <f>IF(A42="Epic",IF(Kalkulation!F49=0,"x",""),IF(OR(J42=0,A42="",B42=0),"x",""))</f>
        <v>x</v>
      </c>
    </row>
    <row r="43" spans="1:13" ht="26.4">
      <c r="A43" t="str">
        <f>IF(OR(Kalkulation!C50="Service",Kalkulation!C50="Individual costs and external services"),"",IF(Kalkulation!B50=0,"Epic","Project-task"))</f>
        <v>Project-task</v>
      </c>
      <c r="B43" s="45" t="str">
        <f>IF(OR(Kalkulation!C50="Service",Kalkulation!C50="Individual costs and external services"),"",IF(Kalkulation!B50=0,Kalkulation!C50,""))</f>
        <v/>
      </c>
      <c r="C43" t="str">
        <f>IF(A43="","",IF(Kalkulation!B50=0,"ghx-label-1",""))</f>
        <v/>
      </c>
      <c r="D43" s="45" t="str">
        <f>IF(Kalkulation!B50=0,"",IF(A42="",IF(B41="",D41,B41),IF(B42="",D42,B42)))</f>
        <v>Detailed concept and system design - PrkzZm</v>
      </c>
      <c r="E43">
        <f t="shared" si="3"/>
        <v>6038</v>
      </c>
      <c r="G43" s="45">
        <f>IF(Kalkulation!B50=0,IF(A43="Epic",B43," "),Kalkulation!C50)</f>
        <v>0</v>
      </c>
      <c r="H43" t="str">
        <f t="shared" si="0"/>
        <v xml:space="preserve"> </v>
      </c>
      <c r="I43" t="str">
        <f t="shared" si="1"/>
        <v>Normal</v>
      </c>
      <c r="J43">
        <f>IF(OR(A43="",A43="Epic"),"",Kalkulation!F50*60*60)</f>
        <v>0</v>
      </c>
      <c r="K43">
        <f t="shared" si="2"/>
        <v>0</v>
      </c>
      <c r="L43" t="str">
        <f>CONCATENATE(Kalkulation!$C$3,": ",Kalkulation!$C$2,)</f>
        <v>write your component number(only integer): Projekt</v>
      </c>
      <c r="M43" t="str">
        <f>IF(A43="Epic",IF(Kalkulation!F50=0,"x",""),IF(OR(J43=0,A43="",B43=0),"x",""))</f>
        <v>x</v>
      </c>
    </row>
    <row r="44" spans="1:13">
      <c r="A44" t="str">
        <f>IF(OR(Kalkulation!C51="Service",Kalkulation!C51="Individual costs and external services"),"",IF(Kalkulation!B51=0,"Epic","Project-task"))</f>
        <v/>
      </c>
      <c r="B44" s="45" t="str">
        <f>IF(OR(Kalkulation!C51="Service",Kalkulation!C51="Individual costs and external services"),"",IF(Kalkulation!B51=0,Kalkulation!C51,""))</f>
        <v/>
      </c>
      <c r="C44" t="str">
        <f>IF(A44="","",IF(Kalkulation!B51=0,"ghx-label-1",""))</f>
        <v/>
      </c>
      <c r="D44" s="45" t="str">
        <f>IF(Kalkulation!B51=0,"",IF(A43="",IF(B42="",D42,B42),IF(B43="",D43,B43)))</f>
        <v/>
      </c>
      <c r="E44" t="str">
        <f t="shared" si="3"/>
        <v/>
      </c>
      <c r="G44" s="45" t="str">
        <f>IF(Kalkulation!B51=0,IF(A44="Epic",B44," "),Kalkulation!C51)</f>
        <v xml:space="preserve"> </v>
      </c>
      <c r="H44" t="str">
        <f t="shared" si="0"/>
        <v xml:space="preserve"> </v>
      </c>
      <c r="I44" t="str">
        <f t="shared" si="1"/>
        <v/>
      </c>
      <c r="J44" t="str">
        <f>IF(OR(A44="",A44="Epic"),"",Kalkulation!F51*60*60)</f>
        <v/>
      </c>
      <c r="K44" t="str">
        <f t="shared" si="2"/>
        <v/>
      </c>
      <c r="L44" t="str">
        <f>CONCATENATE(Kalkulation!$C$3,": ",Kalkulation!$C$2,)</f>
        <v>write your component number(only integer): Projekt</v>
      </c>
      <c r="M44" t="str">
        <f>IF(A44="Epic",IF(Kalkulation!F51=0,"x",""),IF(OR(J44=0,A44="",B44=0),"x",""))</f>
        <v>x</v>
      </c>
    </row>
    <row r="45" spans="1:13" ht="26.4">
      <c r="A45" t="str">
        <f>IF(OR(Kalkulation!C52="Service",Kalkulation!C52="Individual costs and external services"),"",IF(Kalkulation!B52=0,"Epic","Project-task"))</f>
        <v>Project-task</v>
      </c>
      <c r="B45" s="45" t="str">
        <f>IF(OR(Kalkulation!C52="Service",Kalkulation!C52="Individual costs and external services"),"",IF(Kalkulation!B52=0,Kalkulation!C52,""))</f>
        <v/>
      </c>
      <c r="C45" t="str">
        <f>IF(A45="","",IF(Kalkulation!B52=0,"ghx-label-1",""))</f>
        <v/>
      </c>
      <c r="D45" s="45" t="str">
        <f>IF(Kalkulation!B52=0,"",IF(A44="",IF(B43="",D43,B43),IF(B44="",D44,B44)))</f>
        <v>Detailed concept and system design - PrkzZm</v>
      </c>
      <c r="E45">
        <f t="shared" si="3"/>
        <v>6039</v>
      </c>
      <c r="G45" s="45" t="str">
        <f>IF(Kalkulation!B52=0,IF(A45="Epic",B45," "),Kalkulation!C52)</f>
        <v>Standards</v>
      </c>
      <c r="H45" t="str">
        <f t="shared" si="0"/>
        <v xml:space="preserve"> </v>
      </c>
      <c r="I45" t="str">
        <f t="shared" si="1"/>
        <v>Normal</v>
      </c>
      <c r="J45">
        <f>IF(OR(A45="",A45="Epic"),"",Kalkulation!F52*60*60)</f>
        <v>0</v>
      </c>
      <c r="K45">
        <f t="shared" si="2"/>
        <v>0</v>
      </c>
      <c r="L45" t="str">
        <f>CONCATENATE(Kalkulation!$C$3,": ",Kalkulation!$C$2,)</f>
        <v>write your component number(only integer): Projekt</v>
      </c>
      <c r="M45" t="str">
        <f>IF(A45="Epic",IF(Kalkulation!F52=0,"x",""),IF(OR(J45=0,A45="",B45=0),"x",""))</f>
        <v>x</v>
      </c>
    </row>
    <row r="46" spans="1:13" ht="26.4">
      <c r="A46" t="str">
        <f>IF(OR(Kalkulation!C53="Service",Kalkulation!C53="Individual costs and external services"),"",IF(Kalkulation!B53=0,"Epic","Project-task"))</f>
        <v>Project-task</v>
      </c>
      <c r="B46" s="45" t="str">
        <f>IF(OR(Kalkulation!C53="Service",Kalkulation!C53="Individual costs and external services"),"",IF(Kalkulation!B53=0,Kalkulation!C53,""))</f>
        <v/>
      </c>
      <c r="C46" t="str">
        <f>IF(A46="","",IF(Kalkulation!B53=0,"ghx-label-1",""))</f>
        <v/>
      </c>
      <c r="D46" s="45" t="str">
        <f>IF(Kalkulation!B53=0,"",IF(A45="",IF(B44="",D44,B44),IF(B45="",D45,B45)))</f>
        <v>Detailed concept and system design - PrkzZm</v>
      </c>
      <c r="E46">
        <f t="shared" si="3"/>
        <v>6040</v>
      </c>
      <c r="G46" s="45" t="str">
        <f>IF(Kalkulation!B53=0,IF(A46="Epic",B46," "),Kalkulation!C53)</f>
        <v>Training</v>
      </c>
      <c r="H46" t="str">
        <f t="shared" si="0"/>
        <v xml:space="preserve"> </v>
      </c>
      <c r="I46" t="str">
        <f t="shared" si="1"/>
        <v>Normal</v>
      </c>
      <c r="J46">
        <f>IF(OR(A46="",A46="Epic"),"",Kalkulation!F53*60*60)</f>
        <v>0</v>
      </c>
      <c r="K46">
        <f t="shared" si="2"/>
        <v>0</v>
      </c>
      <c r="L46" t="str">
        <f>CONCATENATE(Kalkulation!$C$3,": ",Kalkulation!$C$2,)</f>
        <v>write your component number(only integer): Projekt</v>
      </c>
      <c r="M46" t="str">
        <f>IF(A46="Epic",IF(Kalkulation!F53=0,"x",""),IF(OR(J46=0,A46="",B46=0),"x",""))</f>
        <v>x</v>
      </c>
    </row>
    <row r="47" spans="1:13" ht="26.4">
      <c r="A47" t="str">
        <f>IF(OR(Kalkulation!C54="Service",Kalkulation!C54="Individual costs and external services"),"",IF(Kalkulation!B54=0,"Epic","Project-task"))</f>
        <v>Project-task</v>
      </c>
      <c r="B47" s="45" t="str">
        <f>IF(OR(Kalkulation!C54="Service",Kalkulation!C54="Individual costs and external services"),"",IF(Kalkulation!B54=0,Kalkulation!C54,""))</f>
        <v/>
      </c>
      <c r="C47" t="str">
        <f>IF(A47="","",IF(Kalkulation!B54=0,"ghx-label-1",""))</f>
        <v/>
      </c>
      <c r="D47" s="45" t="str">
        <f>IF(Kalkulation!B54=0,"",IF(A46="",IF(B45="",D45,B45),IF(B46="",D46,B46)))</f>
        <v>Detailed concept and system design - PrkzZm</v>
      </c>
      <c r="E47">
        <f t="shared" si="3"/>
        <v>6041</v>
      </c>
      <c r="G47" s="45" t="str">
        <f>IF(Kalkulation!B54=0,IF(A47="Epic",B47," "),Kalkulation!C54)</f>
        <v>Test set-up</v>
      </c>
      <c r="H47" t="str">
        <f t="shared" si="0"/>
        <v xml:space="preserve"> </v>
      </c>
      <c r="I47" t="str">
        <f t="shared" si="1"/>
        <v>Normal</v>
      </c>
      <c r="J47">
        <f>IF(OR(A47="",A47="Epic"),"",Kalkulation!F54*60*60)</f>
        <v>0</v>
      </c>
      <c r="K47">
        <f t="shared" si="2"/>
        <v>0</v>
      </c>
      <c r="L47" t="str">
        <f>CONCATENATE(Kalkulation!$C$3,": ",Kalkulation!$C$2,)</f>
        <v>write your component number(only integer): Projekt</v>
      </c>
      <c r="M47" t="str">
        <f>IF(A47="Epic",IF(Kalkulation!F54=0,"x",""),IF(OR(J47=0,A47="",B47=0),"x",""))</f>
        <v>x</v>
      </c>
    </row>
    <row r="48" spans="1:13" ht="26.4">
      <c r="A48" t="str">
        <f>IF(OR(Kalkulation!C55="Service",Kalkulation!C55="Individual costs and external services"),"",IF(Kalkulation!B55=0,"Epic","Project-task"))</f>
        <v>Project-task</v>
      </c>
      <c r="B48" s="45" t="str">
        <f>IF(OR(Kalkulation!C55="Service",Kalkulation!C55="Individual costs and external services"),"",IF(Kalkulation!B55=0,Kalkulation!C55,""))</f>
        <v/>
      </c>
      <c r="C48" t="str">
        <f>IF(A48="","",IF(Kalkulation!B55=0,"ghx-label-1",""))</f>
        <v/>
      </c>
      <c r="D48" s="45" t="str">
        <f>IF(Kalkulation!B55=0,"",IF(A47="",IF(B46="",D46,B46),IF(B47="",D47,B47)))</f>
        <v>Detailed concept and system design - PrkzZm</v>
      </c>
      <c r="E48">
        <f t="shared" si="3"/>
        <v>6042</v>
      </c>
      <c r="G48" s="45" t="str">
        <f>IF(Kalkulation!B55=0,IF(A48="Epic",B48," "),Kalkulation!C55)</f>
        <v>External Consulting (CONSENS Moderator)</v>
      </c>
      <c r="H48" t="str">
        <f t="shared" si="0"/>
        <v xml:space="preserve"> </v>
      </c>
      <c r="I48" t="str">
        <f t="shared" si="1"/>
        <v>Normal</v>
      </c>
      <c r="J48">
        <f>IF(OR(A48="",A48="Epic"),"",Kalkulation!F55*60*60)</f>
        <v>0</v>
      </c>
      <c r="K48">
        <f t="shared" si="2"/>
        <v>0</v>
      </c>
      <c r="L48" t="str">
        <f>CONCATENATE(Kalkulation!$C$3,": ",Kalkulation!$C$2,)</f>
        <v>write your component number(only integer): Projekt</v>
      </c>
      <c r="M48" t="str">
        <f>IF(A48="Epic",IF(Kalkulation!F55=0,"x",""),IF(OR(J48=0,A48="",B48=0),"x",""))</f>
        <v>x</v>
      </c>
    </row>
    <row r="49" spans="1:13" ht="26.4">
      <c r="A49" t="str">
        <f>IF(OR(Kalkulation!C56="Service",Kalkulation!C56="Individual costs and external services"),"",IF(Kalkulation!B56=0,"Epic","Project-task"))</f>
        <v>Project-task</v>
      </c>
      <c r="B49" s="45" t="str">
        <f>IF(OR(Kalkulation!C56="Service",Kalkulation!C56="Individual costs and external services"),"",IF(Kalkulation!B56=0,Kalkulation!C56,""))</f>
        <v/>
      </c>
      <c r="C49" t="str">
        <f>IF(A49="","",IF(Kalkulation!B56=0,"ghx-label-1",""))</f>
        <v/>
      </c>
      <c r="D49" s="45" t="str">
        <f>IF(Kalkulation!B56=0,"",IF(A48="",IF(B47="",D47,B47),IF(B48="",D48,B48)))</f>
        <v>Detailed concept and system design - PrkzZm</v>
      </c>
      <c r="E49">
        <f t="shared" si="3"/>
        <v>6043</v>
      </c>
      <c r="G49" s="45">
        <f>IF(Kalkulation!B56=0,IF(A49="Epic",B49," "),Kalkulation!C56)</f>
        <v>0</v>
      </c>
      <c r="H49" t="str">
        <f t="shared" si="0"/>
        <v xml:space="preserve"> </v>
      </c>
      <c r="I49" t="str">
        <f t="shared" si="1"/>
        <v>Normal</v>
      </c>
      <c r="J49">
        <f>IF(OR(A49="",A49="Epic"),"",Kalkulation!F56*60*60)</f>
        <v>0</v>
      </c>
      <c r="K49">
        <f t="shared" si="2"/>
        <v>0</v>
      </c>
      <c r="L49" t="str">
        <f>CONCATENATE(Kalkulation!$C$3,": ",Kalkulation!$C$2,)</f>
        <v>write your component number(only integer): Projekt</v>
      </c>
      <c r="M49" t="str">
        <f>IF(A49="Epic",IF(Kalkulation!F56=0,"x",""),IF(OR(J49=0,A49="",B49=0),"x",""))</f>
        <v>x</v>
      </c>
    </row>
    <row r="50" spans="1:13" ht="26.4">
      <c r="A50" t="str">
        <f>IF(OR(Kalkulation!C57="Service",Kalkulation!C57="Individual costs and external services"),"",IF(Kalkulation!B57=0,"Epic","Project-task"))</f>
        <v>Project-task</v>
      </c>
      <c r="B50" s="45" t="str">
        <f>IF(OR(Kalkulation!C57="Service",Kalkulation!C57="Individual costs and external services"),"",IF(Kalkulation!B57=0,Kalkulation!C57,""))</f>
        <v/>
      </c>
      <c r="C50" t="str">
        <f>IF(A50="","",IF(Kalkulation!B57=0,"ghx-label-1",""))</f>
        <v/>
      </c>
      <c r="D50" s="45" t="str">
        <f>IF(Kalkulation!B57=0,"",IF(A49="",IF(B48="",D48,B48),IF(B49="",D49,B49)))</f>
        <v>Detailed concept and system design - PrkzZm</v>
      </c>
      <c r="E50">
        <f t="shared" si="3"/>
        <v>6044</v>
      </c>
      <c r="G50" s="45">
        <f>IF(Kalkulation!B57=0,IF(A50="Epic",B50," "),Kalkulation!C57)</f>
        <v>0</v>
      </c>
      <c r="H50" t="str">
        <f t="shared" si="0"/>
        <v xml:space="preserve"> </v>
      </c>
      <c r="I50" t="str">
        <f t="shared" si="1"/>
        <v>Normal</v>
      </c>
      <c r="J50">
        <f>IF(OR(A50="",A50="Epic"),"",Kalkulation!F57*60*60)</f>
        <v>0</v>
      </c>
      <c r="K50">
        <f t="shared" si="2"/>
        <v>0</v>
      </c>
      <c r="L50" t="str">
        <f>CONCATENATE(Kalkulation!$C$3,": ",Kalkulation!$C$2,)</f>
        <v>write your component number(only integer): Projekt</v>
      </c>
      <c r="M50" t="str">
        <f>IF(A50="Epic",IF(Kalkulation!F57=0,"x",""),IF(OR(J50=0,A50="",B50=0),"x",""))</f>
        <v>x</v>
      </c>
    </row>
    <row r="51" spans="1:13">
      <c r="A51" t="str">
        <f>IF(OR(Kalkulation!C58="Service",Kalkulation!C58="Individual costs and external services"),"",IF(Kalkulation!B58=0,"Epic","Project-task"))</f>
        <v>Epic</v>
      </c>
      <c r="B51" s="45" t="str">
        <f>IF(OR(Kalkulation!C58="Service",Kalkulation!C58="Individual costs and external services"),"",IF(Kalkulation!B58=0,Kalkulation!C58,""))</f>
        <v>Software Development - PrkzZm</v>
      </c>
      <c r="C51" t="str">
        <f>IF(A51="","",IF(Kalkulation!B58=0,"ghx-label-1",""))</f>
        <v>ghx-label-1</v>
      </c>
      <c r="D51" s="45" t="str">
        <f>IF(Kalkulation!B58=0,"",IF(A50="",IF(B49="",D49,B49),IF(B50="",D50,B50)))</f>
        <v/>
      </c>
      <c r="E51">
        <f t="shared" si="3"/>
        <v>6045</v>
      </c>
      <c r="G51" s="45" t="str">
        <f>IF(Kalkulation!B58=0,IF(A51="Epic",B51," "),Kalkulation!C58)</f>
        <v>Software Development - PrkzZm</v>
      </c>
      <c r="H51" t="str">
        <f t="shared" si="0"/>
        <v>Software Development - PrkzZm</v>
      </c>
      <c r="I51" t="str">
        <f t="shared" si="1"/>
        <v>Normal</v>
      </c>
      <c r="J51" t="str">
        <f>IF(OR(A51="",A51="Epic"),"",Kalkulation!F58*60*60)</f>
        <v/>
      </c>
      <c r="K51" t="str">
        <f t="shared" si="2"/>
        <v/>
      </c>
      <c r="L51" t="str">
        <f>CONCATENATE(Kalkulation!$C$3,": ",Kalkulation!$C$2,)</f>
        <v>write your component number(only integer): Projekt</v>
      </c>
      <c r="M51" t="str">
        <f>IF(A51="Epic",IF(Kalkulation!F58=0,"x",""),IF(OR(J51=0,A51="",B51=0),"x",""))</f>
        <v>x</v>
      </c>
    </row>
    <row r="52" spans="1:13">
      <c r="A52" t="str">
        <f>IF(OR(Kalkulation!C59="Service",Kalkulation!C59="Individual costs and external services"),"",IF(Kalkulation!B59=0,"Epic","Project-task"))</f>
        <v/>
      </c>
      <c r="B52" s="45" t="str">
        <f>IF(OR(Kalkulation!C59="Service",Kalkulation!C59="Individual costs and external services"),"",IF(Kalkulation!B59=0,Kalkulation!C59,""))</f>
        <v/>
      </c>
      <c r="C52" t="str">
        <f>IF(A52="","",IF(Kalkulation!B59=0,"ghx-label-1",""))</f>
        <v/>
      </c>
      <c r="D52" s="45" t="str">
        <f>IF(Kalkulation!B59=0,"",IF(A51="",IF(B50="",D50,B50),IF(B51="",D51,B51)))</f>
        <v/>
      </c>
      <c r="E52" t="str">
        <f t="shared" si="3"/>
        <v/>
      </c>
      <c r="G52" s="45" t="str">
        <f>IF(Kalkulation!B59=0,IF(A52="Epic",B52," "),Kalkulation!C59)</f>
        <v xml:space="preserve"> </v>
      </c>
      <c r="H52" t="str">
        <f t="shared" si="0"/>
        <v xml:space="preserve"> </v>
      </c>
      <c r="I52" t="str">
        <f t="shared" si="1"/>
        <v/>
      </c>
      <c r="J52" t="str">
        <f>IF(OR(A52="",A52="Epic"),"",Kalkulation!F59*60*60)</f>
        <v/>
      </c>
      <c r="K52" t="str">
        <f t="shared" si="2"/>
        <v/>
      </c>
      <c r="L52" t="str">
        <f>CONCATENATE(Kalkulation!$C$3,": ",Kalkulation!$C$2,)</f>
        <v>write your component number(only integer): Projekt</v>
      </c>
      <c r="M52" t="str">
        <f>IF(A52="Epic",IF(Kalkulation!F59=0,"x",""),IF(OR(J52=0,A52="",B52=0),"x",""))</f>
        <v>x</v>
      </c>
    </row>
    <row r="53" spans="1:13">
      <c r="A53" t="str">
        <f>IF(OR(Kalkulation!C60="Service",Kalkulation!C60="Individual costs and external services"),"",IF(Kalkulation!B60=0,"Epic","Project-task"))</f>
        <v>Project-task</v>
      </c>
      <c r="B53" s="45" t="str">
        <f>IF(OR(Kalkulation!C60="Service",Kalkulation!C60="Individual costs and external services"),"",IF(Kalkulation!B60=0,Kalkulation!C60,""))</f>
        <v/>
      </c>
      <c r="C53" t="str">
        <f>IF(A53="","",IF(Kalkulation!B60=0,"ghx-label-1",""))</f>
        <v/>
      </c>
      <c r="D53" s="45" t="str">
        <f>IF(Kalkulation!B60=0,"",IF(A52="",IF(B51="",D51,B51),IF(B52="",D52,B52)))</f>
        <v>Software Development - PrkzZm</v>
      </c>
      <c r="E53">
        <f t="shared" si="3"/>
        <v>6046</v>
      </c>
      <c r="G53" s="45" t="str">
        <f>IF(Kalkulation!B60=0,IF(A53="Epic",B53," "),Kalkulation!C60)</f>
        <v>Setting up a project (IDE, FreeRTOS, Debug)</v>
      </c>
      <c r="H53" t="str">
        <f t="shared" si="0"/>
        <v xml:space="preserve"> </v>
      </c>
      <c r="I53" t="str">
        <f t="shared" si="1"/>
        <v>Normal</v>
      </c>
      <c r="J53">
        <f>IF(OR(A53="",A53="Epic"),"",Kalkulation!F60*60*60)</f>
        <v>0</v>
      </c>
      <c r="K53">
        <f t="shared" si="2"/>
        <v>0</v>
      </c>
      <c r="L53" t="str">
        <f>CONCATENATE(Kalkulation!$C$3,": ",Kalkulation!$C$2,)</f>
        <v>write your component number(only integer): Projekt</v>
      </c>
      <c r="M53" t="str">
        <f>IF(A53="Epic",IF(Kalkulation!F60=0,"x",""),IF(OR(J53=0,A53="",B53=0),"x",""))</f>
        <v>x</v>
      </c>
    </row>
    <row r="54" spans="1:13">
      <c r="A54" t="str">
        <f>IF(OR(Kalkulation!C61="Service",Kalkulation!C61="Individual costs and external services"),"",IF(Kalkulation!B61=0,"Epic","Project-task"))</f>
        <v>Project-task</v>
      </c>
      <c r="B54" s="45" t="str">
        <f>IF(OR(Kalkulation!C61="Service",Kalkulation!C61="Individual costs and external services"),"",IF(Kalkulation!B61=0,Kalkulation!C61,""))</f>
        <v/>
      </c>
      <c r="C54" t="str">
        <f>IF(A54="","",IF(Kalkulation!B61=0,"ghx-label-1",""))</f>
        <v/>
      </c>
      <c r="D54" s="45" t="str">
        <f>IF(Kalkulation!B61=0,"",IF(A53="",IF(B52="",D52,B52),IF(B53="",D53,B53)))</f>
        <v>Software Development - PrkzZm</v>
      </c>
      <c r="E54">
        <f t="shared" si="3"/>
        <v>6047</v>
      </c>
      <c r="G54" s="45" t="str">
        <f>IF(Kalkulation!B61=0,IF(A54="Epic",B54," "),Kalkulation!C61)</f>
        <v xml:space="preserve">Bootloader (Update via ModBus) </v>
      </c>
      <c r="H54" t="str">
        <f t="shared" si="0"/>
        <v xml:space="preserve"> </v>
      </c>
      <c r="I54" t="str">
        <f t="shared" si="1"/>
        <v>Normal</v>
      </c>
      <c r="J54">
        <f>IF(OR(A54="",A54="Epic"),"",Kalkulation!F61*60*60)</f>
        <v>0</v>
      </c>
      <c r="K54">
        <f t="shared" si="2"/>
        <v>0</v>
      </c>
      <c r="L54" t="str">
        <f>CONCATENATE(Kalkulation!$C$3,": ",Kalkulation!$C$2,)</f>
        <v>write your component number(only integer): Projekt</v>
      </c>
      <c r="M54" t="str">
        <f>IF(A54="Epic",IF(Kalkulation!F61=0,"x",""),IF(OR(J54=0,A54="",B54=0),"x",""))</f>
        <v>x</v>
      </c>
    </row>
    <row r="55" spans="1:13" ht="26.4">
      <c r="A55" t="str">
        <f>IF(OR(Kalkulation!C62="Service",Kalkulation!C62="Individual costs and external services"),"",IF(Kalkulation!B62=0,"Epic","Project-task"))</f>
        <v>Project-task</v>
      </c>
      <c r="B55" s="45" t="str">
        <f>IF(OR(Kalkulation!C62="Service",Kalkulation!C62="Individual costs and external services"),"",IF(Kalkulation!B62=0,Kalkulation!C62,""))</f>
        <v/>
      </c>
      <c r="C55" t="str">
        <f>IF(A55="","",IF(Kalkulation!B62=0,"ghx-label-1",""))</f>
        <v/>
      </c>
      <c r="D55" s="45" t="str">
        <f>IF(Kalkulation!B62=0,"",IF(A54="",IF(B53="",D53,B53),IF(B54="",D54,B54)))</f>
        <v>Software Development - PrkzZm</v>
      </c>
      <c r="E55">
        <f t="shared" si="3"/>
        <v>6048</v>
      </c>
      <c r="G55" s="45" t="str">
        <f>IF(Kalkulation!B62=0,IF(A55="Epic",B55," "),Kalkulation!C62)</f>
        <v>Hardware Driver I/O (Relay I/O, PT1000, RS485, Dip Switch)</v>
      </c>
      <c r="H55" t="str">
        <f t="shared" si="0"/>
        <v xml:space="preserve"> </v>
      </c>
      <c r="I55" t="str">
        <f t="shared" si="1"/>
        <v>Normal</v>
      </c>
      <c r="J55">
        <f>IF(OR(A55="",A55="Epic"),"",Kalkulation!F62*60*60)</f>
        <v>0</v>
      </c>
      <c r="K55">
        <f t="shared" si="2"/>
        <v>0</v>
      </c>
      <c r="L55" t="str">
        <f>CONCATENATE(Kalkulation!$C$3,": ",Kalkulation!$C$2,)</f>
        <v>write your component number(only integer): Projekt</v>
      </c>
      <c r="M55" t="str">
        <f>IF(A55="Epic",IF(Kalkulation!F62=0,"x",""),IF(OR(J55=0,A55="",B55=0),"x",""))</f>
        <v>x</v>
      </c>
    </row>
    <row r="56" spans="1:13">
      <c r="A56" t="str">
        <f>IF(OR(Kalkulation!C63="Service",Kalkulation!C63="Individual costs and external services"),"",IF(Kalkulation!B63=0,"Epic","Project-task"))</f>
        <v>Project-task</v>
      </c>
      <c r="B56" s="45" t="str">
        <f>IF(OR(Kalkulation!C63="Service",Kalkulation!C63="Individual costs and external services"),"",IF(Kalkulation!B63=0,Kalkulation!C63,""))</f>
        <v/>
      </c>
      <c r="C56" t="str">
        <f>IF(A56="","",IF(Kalkulation!B63=0,"ghx-label-1",""))</f>
        <v/>
      </c>
      <c r="D56" s="45" t="str">
        <f>IF(Kalkulation!B63=0,"",IF(A55="",IF(B54="",D54,B54),IF(B55="",D55,B55)))</f>
        <v>Software Development - PrkzZm</v>
      </c>
      <c r="E56">
        <f t="shared" si="3"/>
        <v>6049</v>
      </c>
      <c r="G56" s="45" t="str">
        <f>IF(Kalkulation!B63=0,IF(A56="Epic",B56," "),Kalkulation!C63)</f>
        <v>ModBus</v>
      </c>
      <c r="H56" t="str">
        <f t="shared" si="0"/>
        <v xml:space="preserve"> </v>
      </c>
      <c r="I56" t="str">
        <f t="shared" si="1"/>
        <v>Normal</v>
      </c>
      <c r="J56">
        <f>IF(OR(A56="",A56="Epic"),"",Kalkulation!F63*60*60)</f>
        <v>0</v>
      </c>
      <c r="K56">
        <f t="shared" si="2"/>
        <v>0</v>
      </c>
      <c r="L56" t="str">
        <f>CONCATENATE(Kalkulation!$C$3,": ",Kalkulation!$C$2,)</f>
        <v>write your component number(only integer): Projekt</v>
      </c>
      <c r="M56" t="str">
        <f>IF(A56="Epic",IF(Kalkulation!F63=0,"x",""),IF(OR(J56=0,A56="",B56=0),"x",""))</f>
        <v>x</v>
      </c>
    </row>
    <row r="57" spans="1:13">
      <c r="A57" t="str">
        <f>IF(OR(Kalkulation!C64="Service",Kalkulation!C64="Individual costs and external services"),"",IF(Kalkulation!B64=0,"Epic","Project-task"))</f>
        <v>Project-task</v>
      </c>
      <c r="B57" s="45" t="str">
        <f>IF(OR(Kalkulation!C64="Service",Kalkulation!C64="Individual costs and external services"),"",IF(Kalkulation!B64=0,Kalkulation!C64,""))</f>
        <v/>
      </c>
      <c r="C57" t="str">
        <f>IF(A57="","",IF(Kalkulation!B64=0,"ghx-label-1",""))</f>
        <v/>
      </c>
      <c r="D57" s="45" t="str">
        <f>IF(Kalkulation!B64=0,"",IF(A56="",IF(B55="",D55,B55),IF(B56="",D56,B56)))</f>
        <v>Software Development - PrkzZm</v>
      </c>
      <c r="E57">
        <f t="shared" si="3"/>
        <v>6050</v>
      </c>
      <c r="G57" s="45" t="str">
        <f>IF(Kalkulation!B64=0,IF(A57="Epic",B57," "),Kalkulation!C64)</f>
        <v>Data Layer</v>
      </c>
      <c r="H57" t="str">
        <f t="shared" si="0"/>
        <v xml:space="preserve"> </v>
      </c>
      <c r="I57" t="str">
        <f t="shared" si="1"/>
        <v>Normal</v>
      </c>
      <c r="J57">
        <f>IF(OR(A57="",A57="Epic"),"",Kalkulation!F64*60*60)</f>
        <v>0</v>
      </c>
      <c r="K57">
        <f t="shared" si="2"/>
        <v>0</v>
      </c>
      <c r="L57" t="str">
        <f>CONCATENATE(Kalkulation!$C$3,": ",Kalkulation!$C$2,)</f>
        <v>write your component number(only integer): Projekt</v>
      </c>
      <c r="M57" t="str">
        <f>IF(A57="Epic",IF(Kalkulation!F64=0,"x",""),IF(OR(J57=0,A57="",B57=0),"x",""))</f>
        <v>x</v>
      </c>
    </row>
    <row r="58" spans="1:13">
      <c r="A58" t="str">
        <f>IF(OR(Kalkulation!C65="Service",Kalkulation!C65="Individual costs and external services"),"",IF(Kalkulation!B65=0,"Epic","Project-task"))</f>
        <v>Project-task</v>
      </c>
      <c r="B58" s="45" t="str">
        <f>IF(OR(Kalkulation!C65="Service",Kalkulation!C65="Individual costs and external services"),"",IF(Kalkulation!B65=0,Kalkulation!C65,""))</f>
        <v/>
      </c>
      <c r="C58" t="str">
        <f>IF(A58="","",IF(Kalkulation!B65=0,"ghx-label-1",""))</f>
        <v/>
      </c>
      <c r="D58" s="45" t="str">
        <f>IF(Kalkulation!B65=0,"",IF(A57="",IF(B56="",D56,B56),IF(B57="",D57,B57)))</f>
        <v>Software Development - PrkzZm</v>
      </c>
      <c r="E58">
        <f t="shared" si="3"/>
        <v>6051</v>
      </c>
      <c r="G58" s="45" t="str">
        <f>IF(Kalkulation!B65=0,IF(A58="Epic",B58," "),Kalkulation!C65)</f>
        <v>Tweaking</v>
      </c>
      <c r="H58" t="str">
        <f t="shared" si="0"/>
        <v xml:space="preserve"> </v>
      </c>
      <c r="I58" t="str">
        <f t="shared" si="1"/>
        <v>Normal</v>
      </c>
      <c r="J58">
        <f>IF(OR(A58="",A58="Epic"),"",Kalkulation!F65*60*60)</f>
        <v>0</v>
      </c>
      <c r="K58">
        <f t="shared" si="2"/>
        <v>0</v>
      </c>
      <c r="L58" t="str">
        <f>CONCATENATE(Kalkulation!$C$3,": ",Kalkulation!$C$2,)</f>
        <v>write your component number(only integer): Projekt</v>
      </c>
      <c r="M58" t="str">
        <f>IF(A58="Epic",IF(Kalkulation!F65=0,"x",""),IF(OR(J58=0,A58="",B58=0),"x",""))</f>
        <v>x</v>
      </c>
    </row>
    <row r="59" spans="1:13">
      <c r="A59" t="str">
        <f>IF(OR(Kalkulation!C66="Service",Kalkulation!C66="Individual costs and external services"),"",IF(Kalkulation!B66=0,"Epic","Project-task"))</f>
        <v>Project-task</v>
      </c>
      <c r="B59" s="45" t="str">
        <f>IF(OR(Kalkulation!C66="Service",Kalkulation!C66="Individual costs and external services"),"",IF(Kalkulation!B66=0,Kalkulation!C66,""))</f>
        <v/>
      </c>
      <c r="C59" t="str">
        <f>IF(A59="","",IF(Kalkulation!B66=0,"ghx-label-1",""))</f>
        <v/>
      </c>
      <c r="D59" s="45" t="str">
        <f>IF(Kalkulation!B66=0,"",IF(A58="",IF(B57="",D57,B57),IF(B58="",D58,B58)))</f>
        <v>Software Development - PrkzZm</v>
      </c>
      <c r="E59">
        <f t="shared" si="3"/>
        <v>6052</v>
      </c>
      <c r="G59" s="45" t="str">
        <f>IF(Kalkulation!B66=0,IF(A59="Epic",B59," "),Kalkulation!C66)</f>
        <v>Decoupling EMC software</v>
      </c>
      <c r="H59" t="str">
        <f t="shared" si="0"/>
        <v xml:space="preserve"> </v>
      </c>
      <c r="I59" t="str">
        <f t="shared" si="1"/>
        <v>Normal</v>
      </c>
      <c r="J59">
        <f>IF(OR(A59="",A59="Epic"),"",Kalkulation!F66*60*60)</f>
        <v>0</v>
      </c>
      <c r="K59">
        <f t="shared" si="2"/>
        <v>0</v>
      </c>
      <c r="L59" t="str">
        <f>CONCATENATE(Kalkulation!$C$3,": ",Kalkulation!$C$2,)</f>
        <v>write your component number(only integer): Projekt</v>
      </c>
      <c r="M59" t="str">
        <f>IF(A59="Epic",IF(Kalkulation!F66=0,"x",""),IF(OR(J59=0,A59="",B59=0),"x",""))</f>
        <v>x</v>
      </c>
    </row>
    <row r="60" spans="1:13">
      <c r="A60" t="str">
        <f>IF(OR(Kalkulation!C67="Service",Kalkulation!C67="Individual costs and external services"),"",IF(Kalkulation!B67=0,"Epic","Project-task"))</f>
        <v>Project-task</v>
      </c>
      <c r="B60" s="45" t="str">
        <f>IF(OR(Kalkulation!C67="Service",Kalkulation!C67="Individual costs and external services"),"",IF(Kalkulation!B67=0,Kalkulation!C67,""))</f>
        <v/>
      </c>
      <c r="C60" t="str">
        <f>IF(A60="","",IF(Kalkulation!B67=0,"ghx-label-1",""))</f>
        <v/>
      </c>
      <c r="D60" s="45" t="str">
        <f>IF(Kalkulation!B67=0,"",IF(A59="",IF(B58="",D58,B58),IF(B59="",D59,B59)))</f>
        <v>Software Development - PrkzZm</v>
      </c>
      <c r="E60">
        <f t="shared" si="3"/>
        <v>6053</v>
      </c>
      <c r="G60" s="45" t="str">
        <f>IF(Kalkulation!B67=0,IF(A60="Epic",B60," "),Kalkulation!C67)</f>
        <v>Documentation</v>
      </c>
      <c r="H60" t="str">
        <f t="shared" si="0"/>
        <v xml:space="preserve"> </v>
      </c>
      <c r="I60" t="str">
        <f t="shared" si="1"/>
        <v>Normal</v>
      </c>
      <c r="J60">
        <f>IF(OR(A60="",A60="Epic"),"",Kalkulation!F67*60*60)</f>
        <v>0</v>
      </c>
      <c r="K60">
        <f t="shared" si="2"/>
        <v>0</v>
      </c>
      <c r="L60" t="str">
        <f>CONCATENATE(Kalkulation!$C$3,": ",Kalkulation!$C$2,)</f>
        <v>write your component number(only integer): Projekt</v>
      </c>
      <c r="M60" t="str">
        <f>IF(A60="Epic",IF(Kalkulation!F67=0,"x",""),IF(OR(J60=0,A60="",B60=0),"x",""))</f>
        <v>x</v>
      </c>
    </row>
    <row r="61" spans="1:13">
      <c r="A61" t="str">
        <f>IF(OR(Kalkulation!C68="Service",Kalkulation!C68="Individual costs and external services"),"",IF(Kalkulation!B68=0,"Epic","Project-task"))</f>
        <v>Project-task</v>
      </c>
      <c r="B61" s="45" t="str">
        <f>IF(OR(Kalkulation!C68="Service",Kalkulation!C68="Individual costs and external services"),"",IF(Kalkulation!B68=0,Kalkulation!C68,""))</f>
        <v/>
      </c>
      <c r="C61" t="str">
        <f>IF(A61="","",IF(Kalkulation!B68=0,"ghx-label-1",""))</f>
        <v/>
      </c>
      <c r="D61" s="45" t="str">
        <f>IF(Kalkulation!B68=0,"",IF(A60="",IF(B59="",D59,B59),IF(B60="",D60,B60)))</f>
        <v>Software Development - PrkzZm</v>
      </c>
      <c r="E61">
        <f t="shared" si="3"/>
        <v>6054</v>
      </c>
      <c r="G61" s="45">
        <f>IF(Kalkulation!B68=0,IF(A61="Epic",B61," "),Kalkulation!C68)</f>
        <v>0</v>
      </c>
      <c r="H61" t="str">
        <f t="shared" si="0"/>
        <v xml:space="preserve"> </v>
      </c>
      <c r="I61" t="str">
        <f t="shared" si="1"/>
        <v>Normal</v>
      </c>
      <c r="J61">
        <f>IF(OR(A61="",A61="Epic"),"",Kalkulation!F68*60*60)</f>
        <v>0</v>
      </c>
      <c r="K61">
        <f t="shared" si="2"/>
        <v>0</v>
      </c>
      <c r="L61" t="str">
        <f>CONCATENATE(Kalkulation!$C$3,": ",Kalkulation!$C$2,)</f>
        <v>write your component number(only integer): Projekt</v>
      </c>
      <c r="M61" t="str">
        <f>IF(A61="Epic",IF(Kalkulation!F68=0,"x",""),IF(OR(J61=0,A61="",B61=0),"x",""))</f>
        <v>x</v>
      </c>
    </row>
    <row r="62" spans="1:13">
      <c r="A62" t="str">
        <f>IF(OR(Kalkulation!C69="Service",Kalkulation!C69="Individual costs and external services"),"",IF(Kalkulation!B69=0,"Epic","Project-task"))</f>
        <v>Project-task</v>
      </c>
      <c r="B62" s="45" t="str">
        <f>IF(OR(Kalkulation!C69="Service",Kalkulation!C69="Individual costs and external services"),"",IF(Kalkulation!B69=0,Kalkulation!C69,""))</f>
        <v/>
      </c>
      <c r="C62" t="str">
        <f>IF(A62="","",IF(Kalkulation!B69=0,"ghx-label-1",""))</f>
        <v/>
      </c>
      <c r="D62" s="45" t="str">
        <f>IF(Kalkulation!B69=0,"",IF(A61="",IF(B60="",D60,B60),IF(B61="",D61,B61)))</f>
        <v>Software Development - PrkzZm</v>
      </c>
      <c r="E62">
        <f t="shared" si="3"/>
        <v>6055</v>
      </c>
      <c r="G62" s="45">
        <f>IF(Kalkulation!B69=0,IF(A62="Epic",B62," "),Kalkulation!C69)</f>
        <v>0</v>
      </c>
      <c r="H62" t="str">
        <f t="shared" si="0"/>
        <v xml:space="preserve"> </v>
      </c>
      <c r="I62" t="str">
        <f t="shared" si="1"/>
        <v>Normal</v>
      </c>
      <c r="J62">
        <f>IF(OR(A62="",A62="Epic"),"",Kalkulation!F69*60*60)</f>
        <v>0</v>
      </c>
      <c r="K62">
        <f t="shared" si="2"/>
        <v>0</v>
      </c>
      <c r="L62" t="str">
        <f>CONCATENATE(Kalkulation!$C$3,": ",Kalkulation!$C$2,)</f>
        <v>write your component number(only integer): Projekt</v>
      </c>
      <c r="M62" t="str">
        <f>IF(A62="Epic",IF(Kalkulation!F69=0,"x",""),IF(OR(J62=0,A62="",B62=0),"x",""))</f>
        <v>x</v>
      </c>
    </row>
    <row r="63" spans="1:13">
      <c r="A63" t="str">
        <f>IF(OR(Kalkulation!C70="Service",Kalkulation!C70="Individual costs and external services"),"",IF(Kalkulation!B70=0,"Epic","Project-task"))</f>
        <v>Project-task</v>
      </c>
      <c r="B63" s="45" t="str">
        <f>IF(OR(Kalkulation!C70="Service",Kalkulation!C70="Individual costs and external services"),"",IF(Kalkulation!B70=0,Kalkulation!C70,""))</f>
        <v/>
      </c>
      <c r="C63" t="str">
        <f>IF(A63="","",IF(Kalkulation!B70=0,"ghx-label-1",""))</f>
        <v/>
      </c>
      <c r="D63" s="45" t="str">
        <f>IF(Kalkulation!B70=0,"",IF(A62="",IF(B61="",D61,B61),IF(B62="",D62,B62)))</f>
        <v>Software Development - PrkzZm</v>
      </c>
      <c r="E63">
        <f t="shared" si="3"/>
        <v>6056</v>
      </c>
      <c r="G63" s="45">
        <f>IF(Kalkulation!B70=0,IF(A63="Epic",B63," "),Kalkulation!C70)</f>
        <v>0</v>
      </c>
      <c r="H63" t="str">
        <f t="shared" si="0"/>
        <v xml:space="preserve"> </v>
      </c>
      <c r="I63" t="str">
        <f t="shared" si="1"/>
        <v>Normal</v>
      </c>
      <c r="J63">
        <f>IF(OR(A63="",A63="Epic"),"",Kalkulation!F70*60*60)</f>
        <v>0</v>
      </c>
      <c r="K63">
        <f t="shared" si="2"/>
        <v>0</v>
      </c>
      <c r="L63" t="str">
        <f>CONCATENATE(Kalkulation!$C$3,": ",Kalkulation!$C$2,)</f>
        <v>write your component number(only integer): Projekt</v>
      </c>
      <c r="M63" t="str">
        <f>IF(A63="Epic",IF(Kalkulation!F70=0,"x",""),IF(OR(J63=0,A63="",B63=0),"x",""))</f>
        <v>x</v>
      </c>
    </row>
    <row r="64" spans="1:13">
      <c r="A64" t="str">
        <f>IF(OR(Kalkulation!C71="Service",Kalkulation!C71="Individual costs and external services"),"",IF(Kalkulation!B71=0,"Epic","Project-task"))</f>
        <v>Project-task</v>
      </c>
      <c r="B64" s="45" t="str">
        <f>IF(OR(Kalkulation!C71="Service",Kalkulation!C71="Individual costs and external services"),"",IF(Kalkulation!B71=0,Kalkulation!C71,""))</f>
        <v/>
      </c>
      <c r="C64" t="str">
        <f>IF(A64="","",IF(Kalkulation!B71=0,"ghx-label-1",""))</f>
        <v/>
      </c>
      <c r="D64" s="45" t="str">
        <f>IF(Kalkulation!B71=0,"",IF(A63="",IF(B62="",D62,B62),IF(B63="",D63,B63)))</f>
        <v>Software Development - PrkzZm</v>
      </c>
      <c r="E64">
        <f t="shared" si="3"/>
        <v>6057</v>
      </c>
      <c r="G64" s="45">
        <f>IF(Kalkulation!B71=0,IF(A64="Epic",B64," "),Kalkulation!C71)</f>
        <v>0</v>
      </c>
      <c r="H64" t="str">
        <f t="shared" si="0"/>
        <v xml:space="preserve"> </v>
      </c>
      <c r="I64" t="str">
        <f t="shared" si="1"/>
        <v>Normal</v>
      </c>
      <c r="J64">
        <f>IF(OR(A64="",A64="Epic"),"",Kalkulation!F71*60*60)</f>
        <v>0</v>
      </c>
      <c r="K64">
        <f t="shared" si="2"/>
        <v>0</v>
      </c>
      <c r="L64" t="str">
        <f>CONCATENATE(Kalkulation!$C$3,": ",Kalkulation!$C$2,)</f>
        <v>write your component number(only integer): Projekt</v>
      </c>
      <c r="M64" t="str">
        <f>IF(A64="Epic",IF(Kalkulation!F71=0,"x",""),IF(OR(J64=0,A64="",B64=0),"x",""))</f>
        <v>x</v>
      </c>
    </row>
    <row r="65" spans="1:13">
      <c r="A65" t="str">
        <f>IF(OR(Kalkulation!C72="Service",Kalkulation!C72="Individual costs and external services"),"",IF(Kalkulation!B72=0,"Epic","Project-task"))</f>
        <v>Project-task</v>
      </c>
      <c r="B65" s="45" t="str">
        <f>IF(OR(Kalkulation!C72="Service",Kalkulation!C72="Individual costs and external services"),"",IF(Kalkulation!B72=0,Kalkulation!C72,""))</f>
        <v/>
      </c>
      <c r="C65" t="str">
        <f>IF(A65="","",IF(Kalkulation!B72=0,"ghx-label-1",""))</f>
        <v/>
      </c>
      <c r="D65" s="45" t="str">
        <f>IF(Kalkulation!B72=0,"",IF(A64="",IF(B63="",D63,B63),IF(B64="",D64,B64)))</f>
        <v>Software Development - PrkzZm</v>
      </c>
      <c r="E65">
        <f t="shared" si="3"/>
        <v>6058</v>
      </c>
      <c r="G65" s="45">
        <f>IF(Kalkulation!B72=0,IF(A65="Epic",B65," "),Kalkulation!C72)</f>
        <v>0</v>
      </c>
      <c r="H65" t="str">
        <f t="shared" si="0"/>
        <v xml:space="preserve"> </v>
      </c>
      <c r="I65" t="str">
        <f t="shared" si="1"/>
        <v>Normal</v>
      </c>
      <c r="J65">
        <f>IF(OR(A65="",A65="Epic"),"",Kalkulation!F72*60*60)</f>
        <v>0</v>
      </c>
      <c r="K65">
        <f t="shared" si="2"/>
        <v>0</v>
      </c>
      <c r="L65" t="str">
        <f>CONCATENATE(Kalkulation!$C$3,": ",Kalkulation!$C$2,)</f>
        <v>write your component number(only integer): Projekt</v>
      </c>
      <c r="M65" t="str">
        <f>IF(A65="Epic",IF(Kalkulation!F72=0,"x",""),IF(OR(J65=0,A65="",B65=0),"x",""))</f>
        <v>x</v>
      </c>
    </row>
    <row r="66" spans="1:13">
      <c r="A66" t="str">
        <f>IF(OR(Kalkulation!C73="Service",Kalkulation!C73="Individual costs and external services"),"",IF(Kalkulation!B73=0,"Epic","Project-task"))</f>
        <v>Project-task</v>
      </c>
      <c r="B66" s="45" t="str">
        <f>IF(OR(Kalkulation!C73="Service",Kalkulation!C73="Individual costs and external services"),"",IF(Kalkulation!B73=0,Kalkulation!C73,""))</f>
        <v/>
      </c>
      <c r="C66" t="str">
        <f>IF(A66="","",IF(Kalkulation!B73=0,"ghx-label-1",""))</f>
        <v/>
      </c>
      <c r="D66" s="45" t="str">
        <f>IF(Kalkulation!B73=0,"",IF(A65="",IF(B64="",D64,B64),IF(B65="",D65,B65)))</f>
        <v>Software Development - PrkzZm</v>
      </c>
      <c r="E66">
        <f t="shared" si="3"/>
        <v>6059</v>
      </c>
      <c r="G66" s="45">
        <f>IF(Kalkulation!B73=0,IF(A66="Epic",B66," "),Kalkulation!C73)</f>
        <v>0</v>
      </c>
      <c r="H66" t="str">
        <f t="shared" si="0"/>
        <v xml:space="preserve"> </v>
      </c>
      <c r="I66" t="str">
        <f t="shared" si="1"/>
        <v>Normal</v>
      </c>
      <c r="J66">
        <f>IF(OR(A66="",A66="Epic"),"",Kalkulation!F73*60*60)</f>
        <v>0</v>
      </c>
      <c r="K66">
        <f t="shared" si="2"/>
        <v>0</v>
      </c>
      <c r="L66" t="str">
        <f>CONCATENATE(Kalkulation!$C$3,": ",Kalkulation!$C$2,)</f>
        <v>write your component number(only integer): Projekt</v>
      </c>
      <c r="M66" t="str">
        <f>IF(A66="Epic",IF(Kalkulation!F73=0,"x",""),IF(OR(J66=0,A66="",B66=0),"x",""))</f>
        <v>x</v>
      </c>
    </row>
    <row r="67" spans="1:13">
      <c r="A67" t="str">
        <f>IF(OR(Kalkulation!C74="Service",Kalkulation!C74="Individual costs and external services"),"",IF(Kalkulation!B74=0,"Epic","Project-task"))</f>
        <v/>
      </c>
      <c r="B67" s="45" t="str">
        <f>IF(OR(Kalkulation!C74="Service",Kalkulation!C74="Individual costs and external services"),"",IF(Kalkulation!B74=0,Kalkulation!C74,""))</f>
        <v/>
      </c>
      <c r="C67" t="str">
        <f>IF(A67="","",IF(Kalkulation!B74=0,"ghx-label-1",""))</f>
        <v/>
      </c>
      <c r="D67" s="45" t="str">
        <f>IF(Kalkulation!B74=0,"",IF(A66="",IF(B65="",D65,B65),IF(B66="",D66,B66)))</f>
        <v/>
      </c>
      <c r="E67" t="str">
        <f t="shared" si="3"/>
        <v/>
      </c>
      <c r="G67" s="45" t="str">
        <f>IF(Kalkulation!B74=0,IF(A67="Epic",B67," "),Kalkulation!C74)</f>
        <v xml:space="preserve"> </v>
      </c>
      <c r="H67" t="str">
        <f t="shared" ref="H67:H130" si="4">IF(A67="Epic",B67," ")</f>
        <v xml:space="preserve"> </v>
      </c>
      <c r="I67" t="str">
        <f t="shared" ref="I67:I130" si="5">IF(A67="","","Normal")</f>
        <v/>
      </c>
      <c r="J67" t="str">
        <f>IF(OR(A67="",A67="Epic"),"",Kalkulation!F74*60*60)</f>
        <v/>
      </c>
      <c r="K67" t="str">
        <f t="shared" ref="K67:K130" si="6">J67</f>
        <v/>
      </c>
      <c r="L67" t="str">
        <f>CONCATENATE(Kalkulation!$C$3,": ",Kalkulation!$C$2,)</f>
        <v>write your component number(only integer): Projekt</v>
      </c>
      <c r="M67" t="str">
        <f>IF(A67="Epic",IF(Kalkulation!F74=0,"x",""),IF(OR(J67=0,A67="",B67=0),"x",""))</f>
        <v>x</v>
      </c>
    </row>
    <row r="68" spans="1:13">
      <c r="A68" t="str">
        <f>IF(OR(Kalkulation!C75="Service",Kalkulation!C75="Individual costs and external services"),"",IF(Kalkulation!B75=0,"Epic","Project-task"))</f>
        <v>Project-task</v>
      </c>
      <c r="B68" s="45" t="str">
        <f>IF(OR(Kalkulation!C75="Service",Kalkulation!C75="Individual costs and external services"),"",IF(Kalkulation!B75=0,Kalkulation!C75,""))</f>
        <v/>
      </c>
      <c r="C68" t="str">
        <f>IF(A68="","",IF(Kalkulation!B75=0,"ghx-label-1",""))</f>
        <v/>
      </c>
      <c r="D68" s="45" t="str">
        <f>IF(Kalkulation!B75=0,"",IF(A67="",IF(B66="",D66,B66),IF(B67="",D67,B67)))</f>
        <v>Software Development - PrkzZm</v>
      </c>
      <c r="E68">
        <f t="shared" ref="E68:E131" si="7">IF(A68="","",IF(E67="",E66+1,E67+1))</f>
        <v>6060</v>
      </c>
      <c r="G68" s="45" t="str">
        <f>IF(Kalkulation!B75=0,IF(A68="Epic",B68," "),Kalkulation!C75)</f>
        <v>Material Functional Pattern (A-Pattern)</v>
      </c>
      <c r="H68" t="str">
        <f t="shared" si="4"/>
        <v xml:space="preserve"> </v>
      </c>
      <c r="I68" t="str">
        <f t="shared" si="5"/>
        <v>Normal</v>
      </c>
      <c r="J68">
        <f>IF(OR(A68="",A68="Epic"),"",Kalkulation!F75*60*60)</f>
        <v>0</v>
      </c>
      <c r="K68">
        <f t="shared" si="6"/>
        <v>0</v>
      </c>
      <c r="L68" t="str">
        <f>CONCATENATE(Kalkulation!$C$3,": ",Kalkulation!$C$2,)</f>
        <v>write your component number(only integer): Projekt</v>
      </c>
      <c r="M68" t="str">
        <f>IF(A68="Epic",IF(Kalkulation!F75=0,"x",""),IF(OR(J68=0,A68="",B68=0),"x",""))</f>
        <v>x</v>
      </c>
    </row>
    <row r="69" spans="1:13">
      <c r="A69" t="str">
        <f>IF(OR(Kalkulation!C76="Service",Kalkulation!C76="Individual costs and external services"),"",IF(Kalkulation!B76=0,"Epic","Project-task"))</f>
        <v>Project-task</v>
      </c>
      <c r="B69" s="45" t="str">
        <f>IF(OR(Kalkulation!C76="Service",Kalkulation!C76="Individual costs and external services"),"",IF(Kalkulation!B76=0,Kalkulation!C76,""))</f>
        <v/>
      </c>
      <c r="C69" t="str">
        <f>IF(A69="","",IF(Kalkulation!B76=0,"ghx-label-1",""))</f>
        <v/>
      </c>
      <c r="D69" s="45" t="str">
        <f>IF(Kalkulation!B76=0,"",IF(A68="",IF(B67="",D67,B67),IF(B68="",D68,B68)))</f>
        <v>Software Development - PrkzZm</v>
      </c>
      <c r="E69">
        <f t="shared" si="7"/>
        <v>6061</v>
      </c>
      <c r="G69" s="45" t="str">
        <f>IF(Kalkulation!B76=0,IF(A69="Epic",B69," "),Kalkulation!C76)</f>
        <v>External Software Modules</v>
      </c>
      <c r="H69" t="str">
        <f t="shared" si="4"/>
        <v xml:space="preserve"> </v>
      </c>
      <c r="I69" t="str">
        <f t="shared" si="5"/>
        <v>Normal</v>
      </c>
      <c r="J69">
        <f>IF(OR(A69="",A69="Epic"),"",Kalkulation!F76*60*60)</f>
        <v>0</v>
      </c>
      <c r="K69">
        <f t="shared" si="6"/>
        <v>0</v>
      </c>
      <c r="L69" t="str">
        <f>CONCATENATE(Kalkulation!$C$3,": ",Kalkulation!$C$2,)</f>
        <v>write your component number(only integer): Projekt</v>
      </c>
      <c r="M69" t="str">
        <f>IF(A69="Epic",IF(Kalkulation!F76=0,"x",""),IF(OR(J69=0,A69="",B69=0),"x",""))</f>
        <v>x</v>
      </c>
    </row>
    <row r="70" spans="1:13">
      <c r="A70" t="str">
        <f>IF(OR(Kalkulation!C77="Service",Kalkulation!C77="Individual costs and external services"),"",IF(Kalkulation!B77=0,"Epic","Project-task"))</f>
        <v>Project-task</v>
      </c>
      <c r="B70" s="45" t="str">
        <f>IF(OR(Kalkulation!C77="Service",Kalkulation!C77="Individual costs and external services"),"",IF(Kalkulation!B77=0,Kalkulation!C77,""))</f>
        <v/>
      </c>
      <c r="C70" t="str">
        <f>IF(A70="","",IF(Kalkulation!B77=0,"ghx-label-1",""))</f>
        <v/>
      </c>
      <c r="D70" s="45" t="str">
        <f>IF(Kalkulation!B77=0,"",IF(A69="",IF(B68="",D68,B68),IF(B69="",D69,B69)))</f>
        <v>Software Development - PrkzZm</v>
      </c>
      <c r="E70">
        <f t="shared" si="7"/>
        <v>6062</v>
      </c>
      <c r="G70" s="45" t="str">
        <f>IF(Kalkulation!B77=0,IF(A70="Epic",B70," "),Kalkulation!C77)</f>
        <v>Material Test Setup</v>
      </c>
      <c r="H70" t="str">
        <f t="shared" si="4"/>
        <v xml:space="preserve"> </v>
      </c>
      <c r="I70" t="str">
        <f t="shared" si="5"/>
        <v>Normal</v>
      </c>
      <c r="J70">
        <f>IF(OR(A70="",A70="Epic"),"",Kalkulation!F77*60*60)</f>
        <v>0</v>
      </c>
      <c r="K70">
        <f t="shared" si="6"/>
        <v>0</v>
      </c>
      <c r="L70" t="str">
        <f>CONCATENATE(Kalkulation!$C$3,": ",Kalkulation!$C$2,)</f>
        <v>write your component number(only integer): Projekt</v>
      </c>
      <c r="M70" t="str">
        <f>IF(A70="Epic",IF(Kalkulation!F77=0,"x",""),IF(OR(J70=0,A70="",B70=0),"x",""))</f>
        <v>x</v>
      </c>
    </row>
    <row r="71" spans="1:13">
      <c r="A71" t="str">
        <f>IF(OR(Kalkulation!C78="Service",Kalkulation!C78="Individual costs and external services"),"",IF(Kalkulation!B78=0,"Epic","Project-task"))</f>
        <v>Project-task</v>
      </c>
      <c r="B71" s="45" t="str">
        <f>IF(OR(Kalkulation!C78="Service",Kalkulation!C78="Individual costs and external services"),"",IF(Kalkulation!B78=0,Kalkulation!C78,""))</f>
        <v/>
      </c>
      <c r="C71" t="str">
        <f>IF(A71="","",IF(Kalkulation!B78=0,"ghx-label-1",""))</f>
        <v/>
      </c>
      <c r="D71" s="45" t="str">
        <f>IF(Kalkulation!B78=0,"",IF(A70="",IF(B69="",D69,B69),IF(B70="",D70,B70)))</f>
        <v>Software Development - PrkzZm</v>
      </c>
      <c r="E71">
        <f t="shared" si="7"/>
        <v>6063</v>
      </c>
      <c r="G71" s="45" t="str">
        <f>IF(Kalkulation!B78=0,IF(A71="Epic",B71," "),Kalkulation!C78)</f>
        <v>Software Evaluation Kits</v>
      </c>
      <c r="H71" t="str">
        <f t="shared" si="4"/>
        <v xml:space="preserve"> </v>
      </c>
      <c r="I71" t="str">
        <f t="shared" si="5"/>
        <v>Normal</v>
      </c>
      <c r="J71">
        <f>IF(OR(A71="",A71="Epic"),"",Kalkulation!F78*60*60)</f>
        <v>0</v>
      </c>
      <c r="K71">
        <f t="shared" si="6"/>
        <v>0</v>
      </c>
      <c r="L71" t="str">
        <f>CONCATENATE(Kalkulation!$C$3,": ",Kalkulation!$C$2,)</f>
        <v>write your component number(only integer): Projekt</v>
      </c>
      <c r="M71" t="str">
        <f>IF(A71="Epic",IF(Kalkulation!F78=0,"x",""),IF(OR(J71=0,A71="",B71=0),"x",""))</f>
        <v>x</v>
      </c>
    </row>
    <row r="72" spans="1:13">
      <c r="A72" t="str">
        <f>IF(OR(Kalkulation!C79="Service",Kalkulation!C79="Individual costs and external services"),"",IF(Kalkulation!B79=0,"Epic","Project-task"))</f>
        <v>Project-task</v>
      </c>
      <c r="B72" s="45" t="str">
        <f>IF(OR(Kalkulation!C79="Service",Kalkulation!C79="Individual costs and external services"),"",IF(Kalkulation!B79=0,Kalkulation!C79,""))</f>
        <v/>
      </c>
      <c r="C72" t="str">
        <f>IF(A72="","",IF(Kalkulation!B79=0,"ghx-label-1",""))</f>
        <v/>
      </c>
      <c r="D72" s="45" t="str">
        <f>IF(Kalkulation!B79=0,"",IF(A71="",IF(B70="",D70,B70),IF(B71="",D71,B71)))</f>
        <v>Software Development - PrkzZm</v>
      </c>
      <c r="E72">
        <f t="shared" si="7"/>
        <v>6064</v>
      </c>
      <c r="G72" s="45" t="str">
        <f>IF(Kalkulation!B79=0,IF(A72="Epic",B72," "),Kalkulation!C79)</f>
        <v>Acquisition of Development Services-Smart</v>
      </c>
      <c r="H72" t="str">
        <f t="shared" si="4"/>
        <v xml:space="preserve"> </v>
      </c>
      <c r="I72" t="str">
        <f t="shared" si="5"/>
        <v>Normal</v>
      </c>
      <c r="J72">
        <f>IF(OR(A72="",A72="Epic"),"",Kalkulation!F79*60*60)</f>
        <v>0</v>
      </c>
      <c r="K72">
        <f t="shared" si="6"/>
        <v>0</v>
      </c>
      <c r="L72" t="str">
        <f>CONCATENATE(Kalkulation!$C$3,": ",Kalkulation!$C$2,)</f>
        <v>write your component number(only integer): Projekt</v>
      </c>
      <c r="M72" t="str">
        <f>IF(A72="Epic",IF(Kalkulation!F79=0,"x",""),IF(OR(J72=0,A72="",B72=0),"x",""))</f>
        <v>x</v>
      </c>
    </row>
    <row r="73" spans="1:13">
      <c r="A73" t="str">
        <f>IF(OR(Kalkulation!C80="Service",Kalkulation!C80="Individual costs and external services"),"",IF(Kalkulation!B80=0,"Epic","Project-task"))</f>
        <v>Project-task</v>
      </c>
      <c r="B73" s="45" t="str">
        <f>IF(OR(Kalkulation!C80="Service",Kalkulation!C80="Individual costs and external services"),"",IF(Kalkulation!B80=0,Kalkulation!C80,""))</f>
        <v/>
      </c>
      <c r="C73" t="str">
        <f>IF(A73="","",IF(Kalkulation!B80=0,"ghx-label-1",""))</f>
        <v/>
      </c>
      <c r="D73" s="45" t="str">
        <f>IF(Kalkulation!B80=0,"",IF(A72="",IF(B71="",D71,B71),IF(B72="",D72,B72)))</f>
        <v>Software Development - PrkzZm</v>
      </c>
      <c r="E73">
        <f t="shared" si="7"/>
        <v>6065</v>
      </c>
      <c r="G73" s="45">
        <f>IF(Kalkulation!B80=0,IF(A73="Epic",B73," "),Kalkulation!C80)</f>
        <v>0</v>
      </c>
      <c r="H73" t="str">
        <f t="shared" si="4"/>
        <v xml:space="preserve"> </v>
      </c>
      <c r="I73" t="str">
        <f t="shared" si="5"/>
        <v>Normal</v>
      </c>
      <c r="J73">
        <f>IF(OR(A73="",A73="Epic"),"",Kalkulation!F80*60*60)</f>
        <v>0</v>
      </c>
      <c r="K73">
        <f t="shared" si="6"/>
        <v>0</v>
      </c>
      <c r="L73" t="str">
        <f>CONCATENATE(Kalkulation!$C$3,": ",Kalkulation!$C$2,)</f>
        <v>write your component number(only integer): Projekt</v>
      </c>
      <c r="M73" t="str">
        <f>IF(A73="Epic",IF(Kalkulation!F80=0,"x",""),IF(OR(J73=0,A73="",B73=0),"x",""))</f>
        <v>x</v>
      </c>
    </row>
    <row r="74" spans="1:13" ht="26.4">
      <c r="A74" t="str">
        <f>IF(OR(Kalkulation!C81="Service",Kalkulation!C81="Individual costs and external services"),"",IF(Kalkulation!B81=0,"Epic","Project-task"))</f>
        <v>Epic</v>
      </c>
      <c r="B74" s="45" t="str">
        <f>IF(OR(Kalkulation!C81="Service",Kalkulation!C81="Individual costs and external services"),"",IF(Kalkulation!B81=0,Kalkulation!C81,""))</f>
        <v>Product Realization - Prototypes (B0 Samples) - PrkzZm</v>
      </c>
      <c r="C74" t="str">
        <f>IF(A74="","",IF(Kalkulation!B81=0,"ghx-label-1",""))</f>
        <v>ghx-label-1</v>
      </c>
      <c r="D74" s="45" t="str">
        <f>IF(Kalkulation!B81=0,"",IF(A73="",IF(B72="",D72,B72),IF(B73="",D73,B73)))</f>
        <v/>
      </c>
      <c r="E74">
        <f t="shared" si="7"/>
        <v>6066</v>
      </c>
      <c r="G74" s="45" t="str">
        <f>IF(Kalkulation!B81=0,IF(A74="Epic",B74," "),Kalkulation!C81)</f>
        <v>Product Realization - Prototypes (B0 Samples) - PrkzZm</v>
      </c>
      <c r="H74" t="str">
        <f t="shared" si="4"/>
        <v>Product Realization - Prototypes (B0 Samples) - PrkzZm</v>
      </c>
      <c r="I74" t="str">
        <f t="shared" si="5"/>
        <v>Normal</v>
      </c>
      <c r="J74" t="str">
        <f>IF(OR(A74="",A74="Epic"),"",Kalkulation!F81*60*60)</f>
        <v/>
      </c>
      <c r="K74" t="str">
        <f t="shared" si="6"/>
        <v/>
      </c>
      <c r="L74" t="str">
        <f>CONCATENATE(Kalkulation!$C$3,": ",Kalkulation!$C$2,)</f>
        <v>write your component number(only integer): Projekt</v>
      </c>
      <c r="M74" t="str">
        <f>IF(A74="Epic",IF(Kalkulation!F81=0,"x",""),IF(OR(J74=0,A74="",B74=0),"x",""))</f>
        <v>x</v>
      </c>
    </row>
    <row r="75" spans="1:13">
      <c r="A75" t="str">
        <f>IF(OR(Kalkulation!C82="Service",Kalkulation!C82="Individual costs and external services"),"",IF(Kalkulation!B82=0,"Epic","Project-task"))</f>
        <v/>
      </c>
      <c r="B75" s="45" t="str">
        <f>IF(OR(Kalkulation!C82="Service",Kalkulation!C82="Individual costs and external services"),"",IF(Kalkulation!B82=0,Kalkulation!C82,""))</f>
        <v/>
      </c>
      <c r="C75" t="str">
        <f>IF(A75="","",IF(Kalkulation!B82=0,"ghx-label-1",""))</f>
        <v/>
      </c>
      <c r="D75" s="45" t="str">
        <f>IF(Kalkulation!B82=0,"",IF(A74="",IF(B73="",D73,B73),IF(B74="",D74,B74)))</f>
        <v/>
      </c>
      <c r="E75" t="str">
        <f t="shared" si="7"/>
        <v/>
      </c>
      <c r="G75" s="45" t="str">
        <f>IF(Kalkulation!B82=0,IF(A75="Epic",B75," "),Kalkulation!C82)</f>
        <v xml:space="preserve"> </v>
      </c>
      <c r="H75" t="str">
        <f t="shared" si="4"/>
        <v xml:space="preserve"> </v>
      </c>
      <c r="I75" t="str">
        <f t="shared" si="5"/>
        <v/>
      </c>
      <c r="J75" t="str">
        <f>IF(OR(A75="",A75="Epic"),"",Kalkulation!F82*60*60)</f>
        <v/>
      </c>
      <c r="K75" t="str">
        <f t="shared" si="6"/>
        <v/>
      </c>
      <c r="L75" t="str">
        <f>CONCATENATE(Kalkulation!$C$3,": ",Kalkulation!$C$2,)</f>
        <v>write your component number(only integer): Projekt</v>
      </c>
      <c r="M75" t="str">
        <f>IF(A75="Epic",IF(Kalkulation!F82=0,"x",""),IF(OR(J75=0,A75="",B75=0),"x",""))</f>
        <v>x</v>
      </c>
    </row>
    <row r="76" spans="1:13" ht="26.4">
      <c r="A76" t="str">
        <f>IF(OR(Kalkulation!C83="Service",Kalkulation!C83="Individual costs and external services"),"",IF(Kalkulation!B83=0,"Epic","Project-task"))</f>
        <v>Project-task</v>
      </c>
      <c r="B76" s="45" t="str">
        <f>IF(OR(Kalkulation!C83="Service",Kalkulation!C83="Individual costs and external services"),"",IF(Kalkulation!B83=0,Kalkulation!C83,""))</f>
        <v/>
      </c>
      <c r="C76" t="str">
        <f>IF(A76="","",IF(Kalkulation!B83=0,"ghx-label-1",""))</f>
        <v/>
      </c>
      <c r="D76" s="45" t="str">
        <f>IF(Kalkulation!B83=0,"",IF(A75="",IF(B74="",D74,B74),IF(B75="",D75,B75)))</f>
        <v>Product Realization - Prototypes (B0 Samples) - PrkzZm</v>
      </c>
      <c r="E76">
        <f t="shared" si="7"/>
        <v>6067</v>
      </c>
      <c r="G76" s="45" t="str">
        <f>IF(Kalkulation!B83=0,IF(A76="Epic",B76," "),Kalkulation!C83)</f>
        <v>Creation of circuit diagram for the Altium component system</v>
      </c>
      <c r="H76" t="str">
        <f t="shared" si="4"/>
        <v xml:space="preserve"> </v>
      </c>
      <c r="I76" t="str">
        <f t="shared" si="5"/>
        <v>Normal</v>
      </c>
      <c r="J76">
        <f>IF(OR(A76="",A76="Epic"),"",Kalkulation!F83*60*60)</f>
        <v>0</v>
      </c>
      <c r="K76">
        <f t="shared" si="6"/>
        <v>0</v>
      </c>
      <c r="L76" t="str">
        <f>CONCATENATE(Kalkulation!$C$3,": ",Kalkulation!$C$2,)</f>
        <v>write your component number(only integer): Projekt</v>
      </c>
      <c r="M76" t="str">
        <f>IF(A76="Epic",IF(Kalkulation!F83=0,"x",""),IF(OR(J76=0,A76="",B76=0),"x",""))</f>
        <v>x</v>
      </c>
    </row>
    <row r="77" spans="1:13" ht="26.4">
      <c r="A77" t="str">
        <f>IF(OR(Kalkulation!C84="Service",Kalkulation!C84="Individual costs and external services"),"",IF(Kalkulation!B84=0,"Epic","Project-task"))</f>
        <v>Project-task</v>
      </c>
      <c r="B77" s="45" t="str">
        <f>IF(OR(Kalkulation!C84="Service",Kalkulation!C84="Individual costs and external services"),"",IF(Kalkulation!B84=0,Kalkulation!C84,""))</f>
        <v/>
      </c>
      <c r="C77" t="str">
        <f>IF(A77="","",IF(Kalkulation!B84=0,"ghx-label-1",""))</f>
        <v/>
      </c>
      <c r="D77" s="45" t="str">
        <f>IF(Kalkulation!B84=0,"",IF(A76="",IF(B75="",D75,B75),IF(B76="",D76,B76)))</f>
        <v>Product Realization - Prototypes (B0 Samples) - PrkzZm</v>
      </c>
      <c r="E77">
        <f t="shared" si="7"/>
        <v>6068</v>
      </c>
      <c r="G77" s="45" t="str">
        <f>IF(Kalkulation!B84=0,IF(A77="Epic",B77," "),Kalkulation!C84)</f>
        <v>Cost and procurement review (purchasing)</v>
      </c>
      <c r="H77" t="str">
        <f t="shared" si="4"/>
        <v xml:space="preserve"> </v>
      </c>
      <c r="I77" t="str">
        <f t="shared" si="5"/>
        <v>Normal</v>
      </c>
      <c r="J77">
        <f>IF(OR(A77="",A77="Epic"),"",Kalkulation!F84*60*60)</f>
        <v>0</v>
      </c>
      <c r="K77">
        <f t="shared" si="6"/>
        <v>0</v>
      </c>
      <c r="L77" t="str">
        <f>CONCATENATE(Kalkulation!$C$3,": ",Kalkulation!$C$2,)</f>
        <v>write your component number(only integer): Projekt</v>
      </c>
      <c r="M77" t="str">
        <f>IF(A77="Epic",IF(Kalkulation!F84=0,"x",""),IF(OR(J77=0,A77="",B77=0),"x",""))</f>
        <v>x</v>
      </c>
    </row>
    <row r="78" spans="1:13" ht="26.4">
      <c r="A78" t="str">
        <f>IF(OR(Kalkulation!C85="Service",Kalkulation!C85="Individual costs and external services"),"",IF(Kalkulation!B85=0,"Epic","Project-task"))</f>
        <v>Project-task</v>
      </c>
      <c r="B78" s="45" t="str">
        <f>IF(OR(Kalkulation!C85="Service",Kalkulation!C85="Individual costs and external services"),"",IF(Kalkulation!B85=0,Kalkulation!C85,""))</f>
        <v/>
      </c>
      <c r="C78" t="str">
        <f>IF(A78="","",IF(Kalkulation!B85=0,"ghx-label-1",""))</f>
        <v/>
      </c>
      <c r="D78" s="45" t="str">
        <f>IF(Kalkulation!B85=0,"",IF(A77="",IF(B76="",D76,B76),IF(B77="",D77,B77)))</f>
        <v>Product Realization - Prototypes (B0 Samples) - PrkzZm</v>
      </c>
      <c r="E78">
        <f t="shared" si="7"/>
        <v>6069</v>
      </c>
      <c r="G78" s="45" t="str">
        <f>IF(Kalkulation!B85=0,IF(A78="Epic",B78," "),Kalkulation!C85)</f>
        <v>Schematic review (internal and customer)</v>
      </c>
      <c r="H78" t="str">
        <f t="shared" si="4"/>
        <v xml:space="preserve"> </v>
      </c>
      <c r="I78" t="str">
        <f t="shared" si="5"/>
        <v>Normal</v>
      </c>
      <c r="J78">
        <f>IF(OR(A78="",A78="Epic"),"",Kalkulation!F85*60*60)</f>
        <v>0</v>
      </c>
      <c r="K78">
        <f t="shared" si="6"/>
        <v>0</v>
      </c>
      <c r="L78" t="str">
        <f>CONCATENATE(Kalkulation!$C$3,": ",Kalkulation!$C$2,)</f>
        <v>write your component number(only integer): Projekt</v>
      </c>
      <c r="M78" t="str">
        <f>IF(A78="Epic",IF(Kalkulation!F85=0,"x",""),IF(OR(J78=0,A78="",B78=0),"x",""))</f>
        <v>x</v>
      </c>
    </row>
    <row r="79" spans="1:13" ht="26.4">
      <c r="A79" t="str">
        <f>IF(OR(Kalkulation!C86="Service",Kalkulation!C86="Individual costs and external services"),"",IF(Kalkulation!B86=0,"Epic","Project-task"))</f>
        <v>Project-task</v>
      </c>
      <c r="B79" s="45" t="str">
        <f>IF(OR(Kalkulation!C86="Service",Kalkulation!C86="Individual costs and external services"),"",IF(Kalkulation!B86=0,Kalkulation!C86,""))</f>
        <v/>
      </c>
      <c r="C79" t="str">
        <f>IF(A79="","",IF(Kalkulation!B86=0,"ghx-label-1",""))</f>
        <v/>
      </c>
      <c r="D79" s="45" t="str">
        <f>IF(Kalkulation!B86=0,"",IF(A78="",IF(B77="",D77,B77),IF(B78="",D78,B78)))</f>
        <v>Product Realization - Prototypes (B0 Samples) - PrkzZm</v>
      </c>
      <c r="E79">
        <f t="shared" si="7"/>
        <v>6070</v>
      </c>
      <c r="G79" s="45" t="str">
        <f>IF(Kalkulation!B86=0,IF(A79="Epic",B79," "),Kalkulation!C86)</f>
        <v>Creation of layout, course study</v>
      </c>
      <c r="H79" t="str">
        <f t="shared" si="4"/>
        <v xml:space="preserve"> </v>
      </c>
      <c r="I79" t="str">
        <f t="shared" si="5"/>
        <v>Normal</v>
      </c>
      <c r="J79">
        <f>IF(OR(A79="",A79="Epic"),"",Kalkulation!F86*60*60)</f>
        <v>0</v>
      </c>
      <c r="K79">
        <f t="shared" si="6"/>
        <v>0</v>
      </c>
      <c r="L79" t="str">
        <f>CONCATENATE(Kalkulation!$C$3,": ",Kalkulation!$C$2,)</f>
        <v>write your component number(only integer): Projekt</v>
      </c>
      <c r="M79" t="str">
        <f>IF(A79="Epic",IF(Kalkulation!F86=0,"x",""),IF(OR(J79=0,A79="",B79=0),"x",""))</f>
        <v>x</v>
      </c>
    </row>
    <row r="80" spans="1:13" ht="26.4">
      <c r="A80" t="str">
        <f>IF(OR(Kalkulation!C87="Service",Kalkulation!C87="Individual costs and external services"),"",IF(Kalkulation!B87=0,"Epic","Project-task"))</f>
        <v>Project-task</v>
      </c>
      <c r="B80" s="45" t="str">
        <f>IF(OR(Kalkulation!C87="Service",Kalkulation!C87="Individual costs and external services"),"",IF(Kalkulation!B87=0,Kalkulation!C87,""))</f>
        <v/>
      </c>
      <c r="C80" t="str">
        <f>IF(A80="","",IF(Kalkulation!B87=0,"ghx-label-1",""))</f>
        <v/>
      </c>
      <c r="D80" s="45" t="str">
        <f>IF(Kalkulation!B87=0,"",IF(A79="",IF(B78="",D78,B78),IF(B79="",D79,B79)))</f>
        <v>Product Realization - Prototypes (B0 Samples) - PrkzZm</v>
      </c>
      <c r="E80">
        <f t="shared" si="7"/>
        <v>6071</v>
      </c>
      <c r="G80" s="45" t="str">
        <f>IF(Kalkulation!B87=0,IF(A80="Epic",B80," "),Kalkulation!C87)</f>
        <v>Layout review (internal and customer)</v>
      </c>
      <c r="H80" t="str">
        <f t="shared" si="4"/>
        <v xml:space="preserve"> </v>
      </c>
      <c r="I80" t="str">
        <f t="shared" si="5"/>
        <v>Normal</v>
      </c>
      <c r="J80">
        <f>IF(OR(A80="",A80="Epic"),"",Kalkulation!F87*60*60)</f>
        <v>0</v>
      </c>
      <c r="K80">
        <f t="shared" si="6"/>
        <v>0</v>
      </c>
      <c r="L80" t="str">
        <f>CONCATENATE(Kalkulation!$C$3,": ",Kalkulation!$C$2,)</f>
        <v>write your component number(only integer): Projekt</v>
      </c>
      <c r="M80" t="str">
        <f>IF(A80="Epic",IF(Kalkulation!F87=0,"x",""),IF(OR(J80=0,A80="",B80=0),"x",""))</f>
        <v>x</v>
      </c>
    </row>
    <row r="81" spans="1:13" ht="26.4">
      <c r="A81" t="str">
        <f>IF(OR(Kalkulation!C88="Service",Kalkulation!C88="Individual costs and external services"),"",IF(Kalkulation!B88=0,"Epic","Project-task"))</f>
        <v>Project-task</v>
      </c>
      <c r="B81" s="45" t="str">
        <f>IF(OR(Kalkulation!C88="Service",Kalkulation!C88="Individual costs and external services"),"",IF(Kalkulation!B88=0,Kalkulation!C88,""))</f>
        <v/>
      </c>
      <c r="C81" t="str">
        <f>IF(A81="","",IF(Kalkulation!B88=0,"ghx-label-1",""))</f>
        <v/>
      </c>
      <c r="D81" s="45" t="str">
        <f>IF(Kalkulation!B88=0,"",IF(A80="",IF(B79="",D79,B79),IF(B80="",D80,B80)))</f>
        <v>Product Realization - Prototypes (B0 Samples) - PrkzZm</v>
      </c>
      <c r="E81">
        <f t="shared" si="7"/>
        <v>6072</v>
      </c>
      <c r="G81" s="45" t="str">
        <f>IF(Kalkulation!B88=0,IF(A81="Epic",B81," "),Kalkulation!C88)</f>
        <v>Layout review (EMC testing institute) and rework</v>
      </c>
      <c r="H81" t="str">
        <f t="shared" si="4"/>
        <v xml:space="preserve"> </v>
      </c>
      <c r="I81" t="str">
        <f t="shared" si="5"/>
        <v>Normal</v>
      </c>
      <c r="J81">
        <f>IF(OR(A81="",A81="Epic"),"",Kalkulation!F88*60*60)</f>
        <v>0</v>
      </c>
      <c r="K81">
        <f t="shared" si="6"/>
        <v>0</v>
      </c>
      <c r="L81" t="str">
        <f>CONCATENATE(Kalkulation!$C$3,": ",Kalkulation!$C$2,)</f>
        <v>write your component number(only integer): Projekt</v>
      </c>
      <c r="M81" t="str">
        <f>IF(A81="Epic",IF(Kalkulation!F88=0,"x",""),IF(OR(J81=0,A81="",B81=0),"x",""))</f>
        <v>x</v>
      </c>
    </row>
    <row r="82" spans="1:13" ht="26.4">
      <c r="A82" t="str">
        <f>IF(OR(Kalkulation!C89="Service",Kalkulation!C89="Individual costs and external services"),"",IF(Kalkulation!B89=0,"Epic","Project-task"))</f>
        <v>Project-task</v>
      </c>
      <c r="B82" s="45" t="str">
        <f>IF(OR(Kalkulation!C89="Service",Kalkulation!C89="Individual costs and external services"),"",IF(Kalkulation!B89=0,Kalkulation!C89,""))</f>
        <v/>
      </c>
      <c r="C82" t="str">
        <f>IF(A82="","",IF(Kalkulation!B89=0,"ghx-label-1",""))</f>
        <v/>
      </c>
      <c r="D82" s="45" t="str">
        <f>IF(Kalkulation!B89=0,"",IF(A81="",IF(B80="",D80,B80),IF(B81="",D81,B81)))</f>
        <v>Product Realization - Prototypes (B0 Samples) - PrkzZm</v>
      </c>
      <c r="E82">
        <f t="shared" si="7"/>
        <v>6073</v>
      </c>
      <c r="G82" s="45" t="str">
        <f>IF(Kalkulation!B89=0,IF(A82="Epic",B82," "),Kalkulation!C89)</f>
        <v>Definition of mounting elements, cables and accessories</v>
      </c>
      <c r="H82" t="str">
        <f t="shared" si="4"/>
        <v xml:space="preserve"> </v>
      </c>
      <c r="I82" t="str">
        <f t="shared" si="5"/>
        <v>Normal</v>
      </c>
      <c r="J82">
        <f>IF(OR(A82="",A82="Epic"),"",Kalkulation!F89*60*60)</f>
        <v>0</v>
      </c>
      <c r="K82">
        <f t="shared" si="6"/>
        <v>0</v>
      </c>
      <c r="L82" t="str">
        <f>CONCATENATE(Kalkulation!$C$3,": ",Kalkulation!$C$2,)</f>
        <v>write your component number(only integer): Projekt</v>
      </c>
      <c r="M82" t="str">
        <f>IF(A82="Epic",IF(Kalkulation!F89=0,"x",""),IF(OR(J82=0,A82="",B82=0),"x",""))</f>
        <v>x</v>
      </c>
    </row>
    <row r="83" spans="1:13" ht="26.4">
      <c r="A83" t="str">
        <f>IF(OR(Kalkulation!C90="Service",Kalkulation!C90="Individual costs and external services"),"",IF(Kalkulation!B90=0,"Epic","Project-task"))</f>
        <v>Project-task</v>
      </c>
      <c r="B83" s="45" t="str">
        <f>IF(OR(Kalkulation!C90="Service",Kalkulation!C90="Individual costs and external services"),"",IF(Kalkulation!B90=0,Kalkulation!C90,""))</f>
        <v/>
      </c>
      <c r="C83" t="str">
        <f>IF(A83="","",IF(Kalkulation!B90=0,"ghx-label-1",""))</f>
        <v/>
      </c>
      <c r="D83" s="45" t="str">
        <f>IF(Kalkulation!B90=0,"",IF(A82="",IF(B81="",D81,B81),IF(B82="",D82,B82)))</f>
        <v>Product Realization - Prototypes (B0 Samples) - PrkzZm</v>
      </c>
      <c r="E83">
        <f t="shared" si="7"/>
        <v>6074</v>
      </c>
      <c r="G83" s="45" t="str">
        <f>IF(Kalkulation!B90=0,IF(A83="Epic",B83," "),Kalkulation!C90)</f>
        <v>Coordination with external service providers / suppliers</v>
      </c>
      <c r="H83" t="str">
        <f t="shared" si="4"/>
        <v xml:space="preserve"> </v>
      </c>
      <c r="I83" t="str">
        <f t="shared" si="5"/>
        <v>Normal</v>
      </c>
      <c r="J83">
        <f>IF(OR(A83="",A83="Epic"),"",Kalkulation!F90*60*60)</f>
        <v>0</v>
      </c>
      <c r="K83">
        <f t="shared" si="6"/>
        <v>0</v>
      </c>
      <c r="L83" t="str">
        <f>CONCATENATE(Kalkulation!$C$3,": ",Kalkulation!$C$2,)</f>
        <v>write your component number(only integer): Projekt</v>
      </c>
      <c r="M83" t="str">
        <f>IF(A83="Epic",IF(Kalkulation!F90=0,"x",""),IF(OR(J83=0,A83="",B83=0),"x",""))</f>
        <v>x</v>
      </c>
    </row>
    <row r="84" spans="1:13" ht="26.4">
      <c r="A84" t="str">
        <f>IF(OR(Kalkulation!C91="Service",Kalkulation!C91="Individual costs and external services"),"",IF(Kalkulation!B91=0,"Epic","Project-task"))</f>
        <v>Project-task</v>
      </c>
      <c r="B84" s="45" t="str">
        <f>IF(OR(Kalkulation!C91="Service",Kalkulation!C91="Individual costs and external services"),"",IF(Kalkulation!B91=0,Kalkulation!C91,""))</f>
        <v/>
      </c>
      <c r="C84" t="str">
        <f>IF(A84="","",IF(Kalkulation!B91=0,"ghx-label-1",""))</f>
        <v/>
      </c>
      <c r="D84" s="45" t="str">
        <f>IF(Kalkulation!B91=0,"",IF(A83="",IF(B82="",D82,B82),IF(B83="",D83,B83)))</f>
        <v>Product Realization - Prototypes (B0 Samples) - PrkzZm</v>
      </c>
      <c r="E84">
        <f t="shared" si="7"/>
        <v>6075</v>
      </c>
      <c r="G84" s="45" t="str">
        <f>IF(Kalkulation!B91=0,IF(A84="Epic",B84," "),Kalkulation!C91)</f>
        <v>Material procurement for prototypes and test setups</v>
      </c>
      <c r="H84" t="str">
        <f t="shared" si="4"/>
        <v xml:space="preserve"> </v>
      </c>
      <c r="I84" t="str">
        <f t="shared" si="5"/>
        <v>Normal</v>
      </c>
      <c r="J84">
        <f>IF(OR(A84="",A84="Epic"),"",Kalkulation!F91*60*60)</f>
        <v>0</v>
      </c>
      <c r="K84">
        <f t="shared" si="6"/>
        <v>0</v>
      </c>
      <c r="L84" t="str">
        <f>CONCATENATE(Kalkulation!$C$3,": ",Kalkulation!$C$2,)</f>
        <v>write your component number(only integer): Projekt</v>
      </c>
      <c r="M84" t="str">
        <f>IF(A84="Epic",IF(Kalkulation!F91=0,"x",""),IF(OR(J84=0,A84="",B84=0),"x",""))</f>
        <v>x</v>
      </c>
    </row>
    <row r="85" spans="1:13" ht="26.4">
      <c r="A85" t="str">
        <f>IF(OR(Kalkulation!C92="Service",Kalkulation!C92="Individual costs and external services"),"",IF(Kalkulation!B92=0,"Epic","Project-task"))</f>
        <v>Project-task</v>
      </c>
      <c r="B85" s="45" t="str">
        <f>IF(OR(Kalkulation!C92="Service",Kalkulation!C92="Individual costs and external services"),"",IF(Kalkulation!B92=0,Kalkulation!C92,""))</f>
        <v/>
      </c>
      <c r="C85" t="str">
        <f>IF(A85="","",IF(Kalkulation!B92=0,"ghx-label-1",""))</f>
        <v/>
      </c>
      <c r="D85" s="45" t="str">
        <f>IF(Kalkulation!B92=0,"",IF(A84="",IF(B83="",D83,B83),IF(B84="",D84,B84)))</f>
        <v>Product Realization - Prototypes (B0 Samples) - PrkzZm</v>
      </c>
      <c r="E85">
        <f t="shared" si="7"/>
        <v>6076</v>
      </c>
      <c r="G85" s="45" t="str">
        <f>IF(Kalkulation!B92=0,IF(A85="Epic",B85," "),Kalkulation!C92)</f>
        <v>Construction of the B0 prototypes (12 pieces)</v>
      </c>
      <c r="H85" t="str">
        <f t="shared" si="4"/>
        <v xml:space="preserve"> </v>
      </c>
      <c r="I85" t="str">
        <f t="shared" si="5"/>
        <v>Normal</v>
      </c>
      <c r="J85">
        <f>IF(OR(A85="",A85="Epic"),"",Kalkulation!F92*60*60)</f>
        <v>0</v>
      </c>
      <c r="K85">
        <f t="shared" si="6"/>
        <v>0</v>
      </c>
      <c r="L85" t="str">
        <f>CONCATENATE(Kalkulation!$C$3,": ",Kalkulation!$C$2,)</f>
        <v>write your component number(only integer): Projekt</v>
      </c>
      <c r="M85" t="str">
        <f>IF(A85="Epic",IF(Kalkulation!F92=0,"x",""),IF(OR(J85=0,A85="",B85=0),"x",""))</f>
        <v>x</v>
      </c>
    </row>
    <row r="86" spans="1:13" ht="26.4">
      <c r="A86" t="str">
        <f>IF(OR(Kalkulation!C93="Service",Kalkulation!C93="Individual costs and external services"),"",IF(Kalkulation!B93=0,"Epic","Project-task"))</f>
        <v>Project-task</v>
      </c>
      <c r="B86" s="45" t="str">
        <f>IF(OR(Kalkulation!C93="Service",Kalkulation!C93="Individual costs and external services"),"",IF(Kalkulation!B93=0,Kalkulation!C93,""))</f>
        <v/>
      </c>
      <c r="C86" t="str">
        <f>IF(A86="","",IF(Kalkulation!B93=0,"ghx-label-1",""))</f>
        <v/>
      </c>
      <c r="D86" s="45" t="str">
        <f>IF(Kalkulation!B93=0,"",IF(A85="",IF(B84="",D84,B84),IF(B85="",D85,B85)))</f>
        <v>Product Realization - Prototypes (B0 Samples) - PrkzZm</v>
      </c>
      <c r="E86">
        <f t="shared" si="7"/>
        <v>6077</v>
      </c>
      <c r="G86" s="45" t="str">
        <f>IF(Kalkulation!B93=0,IF(A86="Epic",B86," "),Kalkulation!C93)</f>
        <v>Structure of the test environment</v>
      </c>
      <c r="H86" t="str">
        <f t="shared" si="4"/>
        <v xml:space="preserve"> </v>
      </c>
      <c r="I86" t="str">
        <f t="shared" si="5"/>
        <v>Normal</v>
      </c>
      <c r="J86">
        <f>IF(OR(A86="",A86="Epic"),"",Kalkulation!F93*60*60)</f>
        <v>0</v>
      </c>
      <c r="K86">
        <f t="shared" si="6"/>
        <v>0</v>
      </c>
      <c r="L86" t="str">
        <f>CONCATENATE(Kalkulation!$C$3,": ",Kalkulation!$C$2,)</f>
        <v>write your component number(only integer): Projekt</v>
      </c>
      <c r="M86" t="str">
        <f>IF(A86="Epic",IF(Kalkulation!F93=0,"x",""),IF(OR(J86=0,A86="",B86=0),"x",""))</f>
        <v>x</v>
      </c>
    </row>
    <row r="87" spans="1:13" ht="26.4">
      <c r="A87" t="str">
        <f>IF(OR(Kalkulation!C94="Service",Kalkulation!C94="Individual costs and external services"),"",IF(Kalkulation!B94=0,"Epic","Project-task"))</f>
        <v>Project-task</v>
      </c>
      <c r="B87" s="45" t="str">
        <f>IF(OR(Kalkulation!C94="Service",Kalkulation!C94="Individual costs and external services"),"",IF(Kalkulation!B94=0,Kalkulation!C94,""))</f>
        <v/>
      </c>
      <c r="C87" t="str">
        <f>IF(A87="","",IF(Kalkulation!B94=0,"ghx-label-1",""))</f>
        <v/>
      </c>
      <c r="D87" s="45" t="str">
        <f>IF(Kalkulation!B94=0,"",IF(A86="",IF(B85="",D85,B85),IF(B86="",D86,B86)))</f>
        <v>Product Realization - Prototypes (B0 Samples) - PrkzZm</v>
      </c>
      <c r="E87">
        <f t="shared" si="7"/>
        <v>6078</v>
      </c>
      <c r="G87" s="45" t="str">
        <f>IF(Kalkulation!B94=0,IF(A87="Epic",B87," "),Kalkulation!C94)</f>
        <v>Software development (memory management, GUI, application logic)</v>
      </c>
      <c r="H87" t="str">
        <f t="shared" si="4"/>
        <v xml:space="preserve"> </v>
      </c>
      <c r="I87" t="str">
        <f t="shared" si="5"/>
        <v>Normal</v>
      </c>
      <c r="J87">
        <f>IF(OR(A87="",A87="Epic"),"",Kalkulation!F94*60*60)</f>
        <v>0</v>
      </c>
      <c r="K87">
        <f t="shared" si="6"/>
        <v>0</v>
      </c>
      <c r="L87" t="str">
        <f>CONCATENATE(Kalkulation!$C$3,": ",Kalkulation!$C$2,)</f>
        <v>write your component number(only integer): Projekt</v>
      </c>
      <c r="M87" t="str">
        <f>IF(A87="Epic",IF(Kalkulation!F94=0,"x",""),IF(OR(J87=0,A87="",B87=0),"x",""))</f>
        <v>x</v>
      </c>
    </row>
    <row r="88" spans="1:13" ht="26.4">
      <c r="A88" t="str">
        <f>IF(OR(Kalkulation!C95="Service",Kalkulation!C95="Individual costs and external services"),"",IF(Kalkulation!B95=0,"Epic","Project-task"))</f>
        <v>Project-task</v>
      </c>
      <c r="B88" s="45" t="str">
        <f>IF(OR(Kalkulation!C95="Service",Kalkulation!C95="Individual costs and external services"),"",IF(Kalkulation!B95=0,Kalkulation!C95,""))</f>
        <v/>
      </c>
      <c r="C88" t="str">
        <f>IF(A88="","",IF(Kalkulation!B95=0,"ghx-label-1",""))</f>
        <v/>
      </c>
      <c r="D88" s="45" t="str">
        <f>IF(Kalkulation!B95=0,"",IF(A87="",IF(B86="",D86,B86),IF(B87="",D87,B87)))</f>
        <v>Product Realization - Prototypes (B0 Samples) - PrkzZm</v>
      </c>
      <c r="E88">
        <f t="shared" si="7"/>
        <v>6079</v>
      </c>
      <c r="G88" s="45" t="str">
        <f>IF(Kalkulation!B95=0,IF(A88="Epic",B88," "),Kalkulation!C95)</f>
        <v>Commissioning of the B0 prototypes</v>
      </c>
      <c r="H88" t="str">
        <f t="shared" si="4"/>
        <v xml:space="preserve"> </v>
      </c>
      <c r="I88" t="str">
        <f t="shared" si="5"/>
        <v>Normal</v>
      </c>
      <c r="J88">
        <f>IF(OR(A88="",A88="Epic"),"",Kalkulation!F95*60*60)</f>
        <v>0</v>
      </c>
      <c r="K88">
        <f t="shared" si="6"/>
        <v>0</v>
      </c>
      <c r="L88" t="str">
        <f>CONCATENATE(Kalkulation!$C$3,": ",Kalkulation!$C$2,)</f>
        <v>write your component number(only integer): Projekt</v>
      </c>
      <c r="M88" t="str">
        <f>IF(A88="Epic",IF(Kalkulation!F95=0,"x",""),IF(OR(J88=0,A88="",B88=0),"x",""))</f>
        <v>x</v>
      </c>
    </row>
    <row r="89" spans="1:13" ht="26.4">
      <c r="A89" t="str">
        <f>IF(OR(Kalkulation!C96="Service",Kalkulation!C96="Individual costs and external services"),"",IF(Kalkulation!B96=0,"Epic","Project-task"))</f>
        <v>Project-task</v>
      </c>
      <c r="B89" s="45" t="str">
        <f>IF(OR(Kalkulation!C96="Service",Kalkulation!C96="Individual costs and external services"),"",IF(Kalkulation!B96=0,Kalkulation!C96,""))</f>
        <v/>
      </c>
      <c r="C89" t="str">
        <f>IF(A89="","",IF(Kalkulation!B96=0,"ghx-label-1",""))</f>
        <v/>
      </c>
      <c r="D89" s="45" t="str">
        <f>IF(Kalkulation!B96=0,"",IF(A88="",IF(B87="",D87,B87),IF(B88="",D88,B88)))</f>
        <v>Product Realization - Prototypes (B0 Samples) - PrkzZm</v>
      </c>
      <c r="E89">
        <f t="shared" si="7"/>
        <v>6080</v>
      </c>
      <c r="G89" s="45" t="str">
        <f>IF(Kalkulation!B96=0,IF(A89="Epic",B89," "),Kalkulation!C96)</f>
        <v>Software development (EMC software) (see above)</v>
      </c>
      <c r="H89" t="str">
        <f t="shared" si="4"/>
        <v xml:space="preserve"> </v>
      </c>
      <c r="I89" t="str">
        <f t="shared" si="5"/>
        <v>Normal</v>
      </c>
      <c r="J89">
        <f>IF(OR(A89="",A89="Epic"),"",Kalkulation!F96*60*60)</f>
        <v>0</v>
      </c>
      <c r="K89">
        <f t="shared" si="6"/>
        <v>0</v>
      </c>
      <c r="L89" t="str">
        <f>CONCATENATE(Kalkulation!$C$3,": ",Kalkulation!$C$2,)</f>
        <v>write your component number(only integer): Projekt</v>
      </c>
      <c r="M89" t="str">
        <f>IF(A89="Epic",IF(Kalkulation!F96=0,"x",""),IF(OR(J89=0,A89="",B89=0),"x",""))</f>
        <v>x</v>
      </c>
    </row>
    <row r="90" spans="1:13" ht="26.4">
      <c r="A90" t="str">
        <f>IF(OR(Kalkulation!C97="Service",Kalkulation!C97="Individual costs and external services"),"",IF(Kalkulation!B97=0,"Epic","Project-task"))</f>
        <v>Project-task</v>
      </c>
      <c r="B90" s="45" t="str">
        <f>IF(OR(Kalkulation!C97="Service",Kalkulation!C97="Individual costs and external services"),"",IF(Kalkulation!B97=0,Kalkulation!C97,""))</f>
        <v/>
      </c>
      <c r="C90" t="str">
        <f>IF(A90="","",IF(Kalkulation!B97=0,"ghx-label-1",""))</f>
        <v/>
      </c>
      <c r="D90" s="45" t="str">
        <f>IF(Kalkulation!B97=0,"",IF(A89="",IF(B88="",D88,B88),IF(B89="",D89,B89)))</f>
        <v>Product Realization - Prototypes (B0 Samples) - PrkzZm</v>
      </c>
      <c r="E90">
        <f t="shared" si="7"/>
        <v>6081</v>
      </c>
      <c r="G90" s="45" t="str">
        <f>IF(Kalkulation!B97=0,IF(A90="Epic",B90," "),Kalkulation!C97)</f>
        <v>Hardware Verification Test, Elaboration and Execution</v>
      </c>
      <c r="H90" t="str">
        <f t="shared" si="4"/>
        <v xml:space="preserve"> </v>
      </c>
      <c r="I90" t="str">
        <f t="shared" si="5"/>
        <v>Normal</v>
      </c>
      <c r="J90">
        <f>IF(OR(A90="",A90="Epic"),"",Kalkulation!F97*60*60)</f>
        <v>0</v>
      </c>
      <c r="K90">
        <f t="shared" si="6"/>
        <v>0</v>
      </c>
      <c r="L90" t="str">
        <f>CONCATENATE(Kalkulation!$C$3,": ",Kalkulation!$C$2,)</f>
        <v>write your component number(only integer): Projekt</v>
      </c>
      <c r="M90" t="str">
        <f>IF(A90="Epic",IF(Kalkulation!F97=0,"x",""),IF(OR(J90=0,A90="",B90=0),"x",""))</f>
        <v>x</v>
      </c>
    </row>
    <row r="91" spans="1:13" ht="26.4">
      <c r="A91" t="str">
        <f>IF(OR(Kalkulation!C98="Service",Kalkulation!C98="Individual costs and external services"),"",IF(Kalkulation!B98=0,"Epic","Project-task"))</f>
        <v>Project-task</v>
      </c>
      <c r="B91" s="45" t="str">
        <f>IF(OR(Kalkulation!C98="Service",Kalkulation!C98="Individual costs and external services"),"",IF(Kalkulation!B98=0,Kalkulation!C98,""))</f>
        <v/>
      </c>
      <c r="C91" t="str">
        <f>IF(A91="","",IF(Kalkulation!B98=0,"ghx-label-1",""))</f>
        <v/>
      </c>
      <c r="D91" s="45" t="str">
        <f>IF(Kalkulation!B98=0,"",IF(A90="",IF(B89="",D89,B89),IF(B90="",D90,B90)))</f>
        <v>Product Realization - Prototypes (B0 Samples) - PrkzZm</v>
      </c>
      <c r="E91">
        <f t="shared" si="7"/>
        <v>6082</v>
      </c>
      <c r="G91" s="45" t="str">
        <f>IF(Kalkulation!B98=0,IF(A91="Epic",B91," "),Kalkulation!C98)</f>
        <v>Preparation of EMC test setup</v>
      </c>
      <c r="H91" t="str">
        <f t="shared" si="4"/>
        <v xml:space="preserve"> </v>
      </c>
      <c r="I91" t="str">
        <f t="shared" si="5"/>
        <v>Normal</v>
      </c>
      <c r="J91">
        <f>IF(OR(A91="",A91="Epic"),"",Kalkulation!F98*60*60)</f>
        <v>0</v>
      </c>
      <c r="K91">
        <f t="shared" si="6"/>
        <v>0</v>
      </c>
      <c r="L91" t="str">
        <f>CONCATENATE(Kalkulation!$C$3,": ",Kalkulation!$C$2,)</f>
        <v>write your component number(only integer): Projekt</v>
      </c>
      <c r="M91" t="str">
        <f>IF(A91="Epic",IF(Kalkulation!F98=0,"x",""),IF(OR(J91=0,A91="",B91=0),"x",""))</f>
        <v>x</v>
      </c>
    </row>
    <row r="92" spans="1:13" ht="26.4">
      <c r="A92" t="str">
        <f>IF(OR(Kalkulation!C99="Service",Kalkulation!C99="Individual costs and external services"),"",IF(Kalkulation!B99=0,"Epic","Project-task"))</f>
        <v>Project-task</v>
      </c>
      <c r="B92" s="45" t="str">
        <f>IF(OR(Kalkulation!C99="Service",Kalkulation!C99="Individual costs and external services"),"",IF(Kalkulation!B99=0,Kalkulation!C99,""))</f>
        <v/>
      </c>
      <c r="C92" t="str">
        <f>IF(A92="","",IF(Kalkulation!B99=0,"ghx-label-1",""))</f>
        <v/>
      </c>
      <c r="D92" s="45" t="str">
        <f>IF(Kalkulation!B99=0,"",IF(A91="",IF(B90="",D90,B90),IF(B91="",D91,B91)))</f>
        <v>Product Realization - Prototypes (B0 Samples) - PrkzZm</v>
      </c>
      <c r="E92">
        <f t="shared" si="7"/>
        <v>6083</v>
      </c>
      <c r="G92" s="45" t="str">
        <f>IF(Kalkulation!B99=0,IF(A92="Epic",B92," "),Kalkulation!C99)</f>
        <v>Accompaniment of EMC pre-testing</v>
      </c>
      <c r="H92" t="str">
        <f t="shared" si="4"/>
        <v xml:space="preserve"> </v>
      </c>
      <c r="I92" t="str">
        <f t="shared" si="5"/>
        <v>Normal</v>
      </c>
      <c r="J92">
        <f>IF(OR(A92="",A92="Epic"),"",Kalkulation!F99*60*60)</f>
        <v>0</v>
      </c>
      <c r="K92">
        <f t="shared" si="6"/>
        <v>0</v>
      </c>
      <c r="L92" t="str">
        <f>CONCATENATE(Kalkulation!$C$3,": ",Kalkulation!$C$2,)</f>
        <v>write your component number(only integer): Projekt</v>
      </c>
      <c r="M92" t="str">
        <f>IF(A92="Epic",IF(Kalkulation!F99=0,"x",""),IF(OR(J92=0,A92="",B92=0),"x",""))</f>
        <v>x</v>
      </c>
    </row>
    <row r="93" spans="1:13" ht="26.4">
      <c r="A93" t="str">
        <f>IF(OR(Kalkulation!C100="Service",Kalkulation!C100="Individual costs and external services"),"",IF(Kalkulation!B100=0,"Epic","Project-task"))</f>
        <v>Project-task</v>
      </c>
      <c r="B93" s="45" t="str">
        <f>IF(OR(Kalkulation!C100="Service",Kalkulation!C100="Individual costs and external services"),"",IF(Kalkulation!B100=0,Kalkulation!C100,""))</f>
        <v/>
      </c>
      <c r="C93" t="str">
        <f>IF(A93="","",IF(Kalkulation!B100=0,"ghx-label-1",""))</f>
        <v/>
      </c>
      <c r="D93" s="45" t="str">
        <f>IF(Kalkulation!B100=0,"",IF(A92="",IF(B91="",D91,B91),IF(B92="",D92,B92)))</f>
        <v>Product Realization - Prototypes (B0 Samples) - PrkzZm</v>
      </c>
      <c r="E93">
        <f t="shared" si="7"/>
        <v>6084</v>
      </c>
      <c r="G93" s="45" t="str">
        <f>IF(Kalkulation!B100=0,IF(A93="Epic",B93," "),Kalkulation!C100)</f>
        <v>Preparation and implementation of safety assessment</v>
      </c>
      <c r="H93" t="str">
        <f t="shared" si="4"/>
        <v xml:space="preserve"> </v>
      </c>
      <c r="I93" t="str">
        <f t="shared" si="5"/>
        <v>Normal</v>
      </c>
      <c r="J93">
        <f>IF(OR(A93="",A93="Epic"),"",Kalkulation!F100*60*60)</f>
        <v>0</v>
      </c>
      <c r="K93">
        <f t="shared" si="6"/>
        <v>0</v>
      </c>
      <c r="L93" t="str">
        <f>CONCATENATE(Kalkulation!$C$3,": ",Kalkulation!$C$2,)</f>
        <v>write your component number(only integer): Projekt</v>
      </c>
      <c r="M93" t="str">
        <f>IF(A93="Epic",IF(Kalkulation!F100=0,"x",""),IF(OR(J93=0,A93="",B93=0),"x",""))</f>
        <v>x</v>
      </c>
    </row>
    <row r="94" spans="1:13" ht="26.4">
      <c r="A94" t="str">
        <f>IF(OR(Kalkulation!C101="Service",Kalkulation!C101="Individual costs and external services"),"",IF(Kalkulation!B101=0,"Epic","Project-task"))</f>
        <v>Project-task</v>
      </c>
      <c r="B94" s="45" t="str">
        <f>IF(OR(Kalkulation!C101="Service",Kalkulation!C101="Individual costs and external services"),"",IF(Kalkulation!B101=0,Kalkulation!C101,""))</f>
        <v/>
      </c>
      <c r="C94" t="str">
        <f>IF(A94="","",IF(Kalkulation!B101=0,"ghx-label-1",""))</f>
        <v/>
      </c>
      <c r="D94" s="45" t="str">
        <f>IF(Kalkulation!B101=0,"",IF(A93="",IF(B92="",D92,B92),IF(B93="",D93,B93)))</f>
        <v>Product Realization - Prototypes (B0 Samples) - PrkzZm</v>
      </c>
      <c r="E94">
        <f t="shared" si="7"/>
        <v>6085</v>
      </c>
      <c r="G94" s="45" t="str">
        <f>IF(Kalkulation!B101=0,IF(A94="Epic",B94," "),Kalkulation!C101)</f>
        <v>System test (contech)</v>
      </c>
      <c r="H94" t="str">
        <f t="shared" si="4"/>
        <v xml:space="preserve"> </v>
      </c>
      <c r="I94" t="str">
        <f t="shared" si="5"/>
        <v>Normal</v>
      </c>
      <c r="J94">
        <f>IF(OR(A94="",A94="Epic"),"",Kalkulation!F101*60*60)</f>
        <v>0</v>
      </c>
      <c r="K94">
        <f t="shared" si="6"/>
        <v>0</v>
      </c>
      <c r="L94" t="str">
        <f>CONCATENATE(Kalkulation!$C$3,": ",Kalkulation!$C$2,)</f>
        <v>write your component number(only integer): Projekt</v>
      </c>
      <c r="M94" t="str">
        <f>IF(A94="Epic",IF(Kalkulation!F101=0,"x",""),IF(OR(J94=0,A94="",B94=0),"x",""))</f>
        <v>x</v>
      </c>
    </row>
    <row r="95" spans="1:13" ht="26.4">
      <c r="A95" t="str">
        <f>IF(OR(Kalkulation!C102="Service",Kalkulation!C102="Individual costs and external services"),"",IF(Kalkulation!B102=0,"Epic","Project-task"))</f>
        <v>Project-task</v>
      </c>
      <c r="B95" s="45" t="str">
        <f>IF(OR(Kalkulation!C102="Service",Kalkulation!C102="Individual costs and external services"),"",IF(Kalkulation!B102=0,Kalkulation!C102,""))</f>
        <v/>
      </c>
      <c r="C95" t="str">
        <f>IF(A95="","",IF(Kalkulation!B102=0,"ghx-label-1",""))</f>
        <v/>
      </c>
      <c r="D95" s="45" t="str">
        <f>IF(Kalkulation!B102=0,"",IF(A94="",IF(B93="",D93,B93),IF(B94="",D94,B94)))</f>
        <v>Product Realization - Prototypes (B0 Samples) - PrkzZm</v>
      </c>
      <c r="E95">
        <f t="shared" si="7"/>
        <v>6086</v>
      </c>
      <c r="G95" s="45" t="str">
        <f>IF(Kalkulation!B102=0,IF(A95="Epic",B95," "),Kalkulation!C102)</f>
        <v>Commissioning and system test with customer</v>
      </c>
      <c r="H95" t="str">
        <f t="shared" si="4"/>
        <v xml:space="preserve"> </v>
      </c>
      <c r="I95" t="str">
        <f t="shared" si="5"/>
        <v>Normal</v>
      </c>
      <c r="J95">
        <f>IF(OR(A95="",A95="Epic"),"",Kalkulation!F102*60*60)</f>
        <v>0</v>
      </c>
      <c r="K95">
        <f t="shared" si="6"/>
        <v>0</v>
      </c>
      <c r="L95" t="str">
        <f>CONCATENATE(Kalkulation!$C$3,": ",Kalkulation!$C$2,)</f>
        <v>write your component number(only integer): Projekt</v>
      </c>
      <c r="M95" t="str">
        <f>IF(A95="Epic",IF(Kalkulation!F102=0,"x",""),IF(OR(J95=0,A95="",B95=0),"x",""))</f>
        <v>x</v>
      </c>
    </row>
    <row r="96" spans="1:13" ht="26.4">
      <c r="A96" t="str">
        <f>IF(OR(Kalkulation!C103="Service",Kalkulation!C103="Individual costs and external services"),"",IF(Kalkulation!B103=0,"Epic","Project-task"))</f>
        <v>Project-task</v>
      </c>
      <c r="B96" s="45" t="str">
        <f>IF(OR(Kalkulation!C103="Service",Kalkulation!C103="Individual costs and external services"),"",IF(Kalkulation!B103=0,Kalkulation!C103,""))</f>
        <v/>
      </c>
      <c r="C96" t="str">
        <f>IF(A96="","",IF(Kalkulation!B103=0,"ghx-label-1",""))</f>
        <v/>
      </c>
      <c r="D96" s="45" t="str">
        <f>IF(Kalkulation!B103=0,"",IF(A95="",IF(B94="",D94,B94),IF(B95="",D95,B95)))</f>
        <v>Product Realization - Prototypes (B0 Samples) - PrkzZm</v>
      </c>
      <c r="E96">
        <f t="shared" si="7"/>
        <v>6087</v>
      </c>
      <c r="G96" s="45" t="str">
        <f>IF(Kalkulation!B103=0,IF(A96="Epic",B96," "),Kalkulation!C103)</f>
        <v>Review Product Costing</v>
      </c>
      <c r="H96" t="str">
        <f t="shared" si="4"/>
        <v xml:space="preserve"> </v>
      </c>
      <c r="I96" t="str">
        <f t="shared" si="5"/>
        <v>Normal</v>
      </c>
      <c r="J96">
        <f>IF(OR(A96="",A96="Epic"),"",Kalkulation!F103*60*60)</f>
        <v>0</v>
      </c>
      <c r="K96">
        <f t="shared" si="6"/>
        <v>0</v>
      </c>
      <c r="L96" t="str">
        <f>CONCATENATE(Kalkulation!$C$3,": ",Kalkulation!$C$2,)</f>
        <v>write your component number(only integer): Projekt</v>
      </c>
      <c r="M96" t="str">
        <f>IF(A96="Epic",IF(Kalkulation!F103=0,"x",""),IF(OR(J96=0,A96="",B96=0),"x",""))</f>
        <v>x</v>
      </c>
    </row>
    <row r="97" spans="1:13" ht="26.4">
      <c r="A97" t="str">
        <f>IF(OR(Kalkulation!C104="Service",Kalkulation!C104="Individual costs and external services"),"",IF(Kalkulation!B104=0,"Epic","Project-task"))</f>
        <v>Project-task</v>
      </c>
      <c r="B97" s="45" t="str">
        <f>IF(OR(Kalkulation!C104="Service",Kalkulation!C104="Individual costs and external services"),"",IF(Kalkulation!B104=0,Kalkulation!C104,""))</f>
        <v/>
      </c>
      <c r="C97" t="str">
        <f>IF(A97="","",IF(Kalkulation!B104=0,"ghx-label-1",""))</f>
        <v/>
      </c>
      <c r="D97" s="45" t="str">
        <f>IF(Kalkulation!B104=0,"",IF(A96="",IF(B95="",D95,B95),IF(B96="",D96,B96)))</f>
        <v>Product Realization - Prototypes (B0 Samples) - PrkzZm</v>
      </c>
      <c r="E97">
        <f t="shared" si="7"/>
        <v>6088</v>
      </c>
      <c r="G97" s="45" t="str">
        <f>IF(Kalkulation!B104=0,IF(A97="Epic",B97," "),Kalkulation!C104)</f>
        <v>Updating of functional specifications / internal documentation</v>
      </c>
      <c r="H97" t="str">
        <f t="shared" si="4"/>
        <v xml:space="preserve"> </v>
      </c>
      <c r="I97" t="str">
        <f t="shared" si="5"/>
        <v>Normal</v>
      </c>
      <c r="J97">
        <f>IF(OR(A97="",A97="Epic"),"",Kalkulation!F104*60*60)</f>
        <v>0</v>
      </c>
      <c r="K97">
        <f t="shared" si="6"/>
        <v>0</v>
      </c>
      <c r="L97" t="str">
        <f>CONCATENATE(Kalkulation!$C$3,": ",Kalkulation!$C$2,)</f>
        <v>write your component number(only integer): Projekt</v>
      </c>
      <c r="M97" t="str">
        <f>IF(A97="Epic",IF(Kalkulation!F104=0,"x",""),IF(OR(J97=0,A97="",B97=0),"x",""))</f>
        <v>x</v>
      </c>
    </row>
    <row r="98" spans="1:13" ht="26.4">
      <c r="A98" t="str">
        <f>IF(OR(Kalkulation!C105="Service",Kalkulation!C105="Individual costs and external services"),"",IF(Kalkulation!B105=0,"Epic","Project-task"))</f>
        <v>Project-task</v>
      </c>
      <c r="B98" s="45" t="str">
        <f>IF(OR(Kalkulation!C105="Service",Kalkulation!C105="Individual costs and external services"),"",IF(Kalkulation!B105=0,Kalkulation!C105,""))</f>
        <v/>
      </c>
      <c r="C98" t="str">
        <f>IF(A98="","",IF(Kalkulation!B105=0,"ghx-label-1",""))</f>
        <v/>
      </c>
      <c r="D98" s="45" t="str">
        <f>IF(Kalkulation!B105=0,"",IF(A97="",IF(B96="",D96,B96),IF(B97="",D97,B97)))</f>
        <v>Product Realization - Prototypes (B0 Samples) - PrkzZm</v>
      </c>
      <c r="E98">
        <f t="shared" si="7"/>
        <v>6089</v>
      </c>
      <c r="G98" s="45">
        <f>IF(Kalkulation!B105=0,IF(A98="Epic",B98," "),Kalkulation!C105)</f>
        <v>0</v>
      </c>
      <c r="H98" t="str">
        <f t="shared" si="4"/>
        <v xml:space="preserve"> </v>
      </c>
      <c r="I98" t="str">
        <f t="shared" si="5"/>
        <v>Normal</v>
      </c>
      <c r="J98">
        <f>IF(OR(A98="",A98="Epic"),"",Kalkulation!F105*60*60)</f>
        <v>0</v>
      </c>
      <c r="K98">
        <f t="shared" si="6"/>
        <v>0</v>
      </c>
      <c r="L98" t="str">
        <f>CONCATENATE(Kalkulation!$C$3,": ",Kalkulation!$C$2,)</f>
        <v>write your component number(only integer): Projekt</v>
      </c>
      <c r="M98" t="str">
        <f>IF(A98="Epic",IF(Kalkulation!F105=0,"x",""),IF(OR(J98=0,A98="",B98=0),"x",""))</f>
        <v>x</v>
      </c>
    </row>
    <row r="99" spans="1:13" ht="26.4">
      <c r="A99" t="str">
        <f>IF(OR(Kalkulation!C106="Service",Kalkulation!C106="Individual costs and external services"),"",IF(Kalkulation!B106=0,"Epic","Project-task"))</f>
        <v>Project-task</v>
      </c>
      <c r="B99" s="45" t="str">
        <f>IF(OR(Kalkulation!C106="Service",Kalkulation!C106="Individual costs and external services"),"",IF(Kalkulation!B106=0,Kalkulation!C106,""))</f>
        <v/>
      </c>
      <c r="C99" t="str">
        <f>IF(A99="","",IF(Kalkulation!B106=0,"ghx-label-1",""))</f>
        <v/>
      </c>
      <c r="D99" s="45" t="str">
        <f>IF(Kalkulation!B106=0,"",IF(A98="",IF(B97="",D97,B97),IF(B98="",D98,B98)))</f>
        <v>Product Realization - Prototypes (B0 Samples) - PrkzZm</v>
      </c>
      <c r="E99">
        <f t="shared" si="7"/>
        <v>6090</v>
      </c>
      <c r="G99" s="45">
        <f>IF(Kalkulation!B106=0,IF(A99="Epic",B99," "),Kalkulation!C106)</f>
        <v>0</v>
      </c>
      <c r="H99" t="str">
        <f t="shared" si="4"/>
        <v xml:space="preserve"> </v>
      </c>
      <c r="I99" t="str">
        <f t="shared" si="5"/>
        <v>Normal</v>
      </c>
      <c r="J99">
        <f>IF(OR(A99="",A99="Epic"),"",Kalkulation!F106*60*60)</f>
        <v>0</v>
      </c>
      <c r="K99">
        <f t="shared" si="6"/>
        <v>0</v>
      </c>
      <c r="L99" t="str">
        <f>CONCATENATE(Kalkulation!$C$3,": ",Kalkulation!$C$2,)</f>
        <v>write your component number(only integer): Projekt</v>
      </c>
      <c r="M99" t="str">
        <f>IF(A99="Epic",IF(Kalkulation!F106=0,"x",""),IF(OR(J99=0,A99="",B99=0),"x",""))</f>
        <v>x</v>
      </c>
    </row>
    <row r="100" spans="1:13" ht="26.4">
      <c r="A100" t="str">
        <f>IF(OR(Kalkulation!C107="Service",Kalkulation!C107="Individual costs and external services"),"",IF(Kalkulation!B107=0,"Epic","Project-task"))</f>
        <v>Project-task</v>
      </c>
      <c r="B100" s="45" t="str">
        <f>IF(OR(Kalkulation!C107="Service",Kalkulation!C107="Individual costs and external services"),"",IF(Kalkulation!B107=0,Kalkulation!C107,""))</f>
        <v/>
      </c>
      <c r="C100" t="str">
        <f>IF(A100="","",IF(Kalkulation!B107=0,"ghx-label-1",""))</f>
        <v/>
      </c>
      <c r="D100" s="45" t="str">
        <f>IF(Kalkulation!B107=0,"",IF(A99="",IF(B98="",D98,B98),IF(B99="",D99,B99)))</f>
        <v>Product Realization - Prototypes (B0 Samples) - PrkzZm</v>
      </c>
      <c r="E100">
        <f t="shared" si="7"/>
        <v>6091</v>
      </c>
      <c r="G100" s="45">
        <f>IF(Kalkulation!B107=0,IF(A100="Epic",B100," "),Kalkulation!C107)</f>
        <v>0</v>
      </c>
      <c r="H100" t="str">
        <f t="shared" si="4"/>
        <v xml:space="preserve"> </v>
      </c>
      <c r="I100" t="str">
        <f t="shared" si="5"/>
        <v>Normal</v>
      </c>
      <c r="J100">
        <f>IF(OR(A100="",A100="Epic"),"",Kalkulation!F107*60*60)</f>
        <v>0</v>
      </c>
      <c r="K100">
        <f t="shared" si="6"/>
        <v>0</v>
      </c>
      <c r="L100" t="str">
        <f>CONCATENATE(Kalkulation!$C$3,": ",Kalkulation!$C$2,)</f>
        <v>write your component number(only integer): Projekt</v>
      </c>
      <c r="M100" t="str">
        <f>IF(A100="Epic",IF(Kalkulation!F107=0,"x",""),IF(OR(J100=0,A100="",B100=0),"x",""))</f>
        <v>x</v>
      </c>
    </row>
    <row r="101" spans="1:13">
      <c r="A101" t="str">
        <f>IF(OR(Kalkulation!C108="Service",Kalkulation!C108="Individual costs and external services"),"",IF(Kalkulation!B108=0,"Epic","Project-task"))</f>
        <v/>
      </c>
      <c r="B101" s="45" t="str">
        <f>IF(OR(Kalkulation!C108="Service",Kalkulation!C108="Individual costs and external services"),"",IF(Kalkulation!B108=0,Kalkulation!C108,""))</f>
        <v/>
      </c>
      <c r="C101" t="str">
        <f>IF(A101="","",IF(Kalkulation!B108=0,"ghx-label-1",""))</f>
        <v/>
      </c>
      <c r="D101" s="45" t="str">
        <f>IF(Kalkulation!B108=0,"",IF(A100="",IF(B99="",D99,B99),IF(B100="",D100,B100)))</f>
        <v/>
      </c>
      <c r="E101" t="str">
        <f t="shared" si="7"/>
        <v/>
      </c>
      <c r="G101" s="45" t="str">
        <f>IF(Kalkulation!B108=0,IF(A101="Epic",B101," "),Kalkulation!C108)</f>
        <v xml:space="preserve"> </v>
      </c>
      <c r="H101" t="str">
        <f t="shared" si="4"/>
        <v xml:space="preserve"> </v>
      </c>
      <c r="I101" t="str">
        <f t="shared" si="5"/>
        <v/>
      </c>
      <c r="J101" t="str">
        <f>IF(OR(A101="",A101="Epic"),"",Kalkulation!F108*60*60)</f>
        <v/>
      </c>
      <c r="K101" t="str">
        <f t="shared" si="6"/>
        <v/>
      </c>
      <c r="L101" t="str">
        <f>CONCATENATE(Kalkulation!$C$3,": ",Kalkulation!$C$2,)</f>
        <v>write your component number(only integer): Projekt</v>
      </c>
      <c r="M101" t="str">
        <f>IF(A101="Epic",IF(Kalkulation!F108=0,"x",""),IF(OR(J101=0,A101="",B101=0),"x",""))</f>
        <v>x</v>
      </c>
    </row>
    <row r="102" spans="1:13" ht="26.4">
      <c r="A102" t="str">
        <f>IF(OR(Kalkulation!C109="Service",Kalkulation!C109="Individual costs and external services"),"",IF(Kalkulation!B109=0,"Epic","Project-task"))</f>
        <v>Project-task</v>
      </c>
      <c r="B102" s="45" t="str">
        <f>IF(OR(Kalkulation!C109="Service",Kalkulation!C109="Individual costs and external services"),"",IF(Kalkulation!B109=0,Kalkulation!C109,""))</f>
        <v/>
      </c>
      <c r="C102" t="str">
        <f>IF(A102="","",IF(Kalkulation!B109=0,"ghx-label-1",""))</f>
        <v/>
      </c>
      <c r="D102" s="45" t="str">
        <f>IF(Kalkulation!B109=0,"",IF(A101="",IF(B100="",D100,B100),IF(B101="",D101,B101)))</f>
        <v>Product Realization - Prototypes (B0 Samples) - PrkzZm</v>
      </c>
      <c r="E102">
        <f t="shared" si="7"/>
        <v>6092</v>
      </c>
      <c r="G102" s="45" t="str">
        <f>IF(Kalkulation!B109=0,IF(A102="Epic",B102," "),Kalkulation!C109)</f>
        <v>Material Prototypes (B0 samples)</v>
      </c>
      <c r="H102" t="str">
        <f t="shared" si="4"/>
        <v xml:space="preserve"> </v>
      </c>
      <c r="I102" t="str">
        <f t="shared" si="5"/>
        <v>Normal</v>
      </c>
      <c r="J102">
        <f>IF(OR(A102="",A102="Epic"),"",Kalkulation!F109*60*60)</f>
        <v>0</v>
      </c>
      <c r="K102">
        <f t="shared" si="6"/>
        <v>0</v>
      </c>
      <c r="L102" t="str">
        <f>CONCATENATE(Kalkulation!$C$3,": ",Kalkulation!$C$2,)</f>
        <v>write your component number(only integer): Projekt</v>
      </c>
      <c r="M102" t="str">
        <f>IF(A102="Epic",IF(Kalkulation!F109=0,"x",""),IF(OR(J102=0,A102="",B102=0),"x",""))</f>
        <v>x</v>
      </c>
    </row>
    <row r="103" spans="1:13" ht="26.4">
      <c r="A103" t="str">
        <f>IF(OR(Kalkulation!C110="Service",Kalkulation!C110="Individual costs and external services"),"",IF(Kalkulation!B110=0,"Epic","Project-task"))</f>
        <v>Project-task</v>
      </c>
      <c r="B103" s="45" t="str">
        <f>IF(OR(Kalkulation!C110="Service",Kalkulation!C110="Individual costs and external services"),"",IF(Kalkulation!B110=0,Kalkulation!C110,""))</f>
        <v/>
      </c>
      <c r="C103" t="str">
        <f>IF(A103="","",IF(Kalkulation!B110=0,"ghx-label-1",""))</f>
        <v/>
      </c>
      <c r="D103" s="45" t="str">
        <f>IF(Kalkulation!B110=0,"",IF(A102="",IF(B101="",D101,B101),IF(B102="",D102,B102)))</f>
        <v>Product Realization - Prototypes (B0 Samples) - PrkzZm</v>
      </c>
      <c r="E103">
        <f t="shared" si="7"/>
        <v>6093</v>
      </c>
      <c r="G103" s="45" t="str">
        <f>IF(Kalkulation!B110=0,IF(A103="Epic",B103," "),Kalkulation!C110)</f>
        <v>EMC Review (external)</v>
      </c>
      <c r="H103" t="str">
        <f t="shared" si="4"/>
        <v xml:space="preserve"> </v>
      </c>
      <c r="I103" t="str">
        <f t="shared" si="5"/>
        <v>Normal</v>
      </c>
      <c r="J103">
        <f>IF(OR(A103="",A103="Epic"),"",Kalkulation!F110*60*60)</f>
        <v>0</v>
      </c>
      <c r="K103">
        <f t="shared" si="6"/>
        <v>0</v>
      </c>
      <c r="L103" t="str">
        <f>CONCATENATE(Kalkulation!$C$3,": ",Kalkulation!$C$2,)</f>
        <v>write your component number(only integer): Projekt</v>
      </c>
      <c r="M103" t="str">
        <f>IF(A103="Epic",IF(Kalkulation!F110=0,"x",""),IF(OR(J103=0,A103="",B103=0),"x",""))</f>
        <v>x</v>
      </c>
    </row>
    <row r="104" spans="1:13" ht="26.4">
      <c r="A104" t="str">
        <f>IF(OR(Kalkulation!C111="Service",Kalkulation!C111="Individual costs and external services"),"",IF(Kalkulation!B111=0,"Epic","Project-task"))</f>
        <v>Project-task</v>
      </c>
      <c r="B104" s="45" t="str">
        <f>IF(OR(Kalkulation!C111="Service",Kalkulation!C111="Individual costs and external services"),"",IF(Kalkulation!B111=0,Kalkulation!C111,""))</f>
        <v/>
      </c>
      <c r="C104" t="str">
        <f>IF(A104="","",IF(Kalkulation!B111=0,"ghx-label-1",""))</f>
        <v/>
      </c>
      <c r="D104" s="45" t="str">
        <f>IF(Kalkulation!B111=0,"",IF(A103="",IF(B102="",D102,B102),IF(B103="",D103,B103)))</f>
        <v>Product Realization - Prototypes (B0 Samples) - PrkzZm</v>
      </c>
      <c r="E104">
        <f t="shared" si="7"/>
        <v>6094</v>
      </c>
      <c r="G104" s="45" t="str">
        <f>IF(Kalkulation!B111=0,IF(A104="Epic",B104," "),Kalkulation!C111)</f>
        <v>EMC Preliminary Testing</v>
      </c>
      <c r="H104" t="str">
        <f t="shared" si="4"/>
        <v xml:space="preserve"> </v>
      </c>
      <c r="I104" t="str">
        <f t="shared" si="5"/>
        <v>Normal</v>
      </c>
      <c r="J104">
        <f>IF(OR(A104="",A104="Epic"),"",Kalkulation!F111*60*60)</f>
        <v>0</v>
      </c>
      <c r="K104">
        <f t="shared" si="6"/>
        <v>0</v>
      </c>
      <c r="L104" t="str">
        <f>CONCATENATE(Kalkulation!$C$3,": ",Kalkulation!$C$2,)</f>
        <v>write your component number(only integer): Projekt</v>
      </c>
      <c r="M104" t="str">
        <f>IF(A104="Epic",IF(Kalkulation!F111=0,"x",""),IF(OR(J104=0,A104="",B104=0),"x",""))</f>
        <v>x</v>
      </c>
    </row>
    <row r="105" spans="1:13" ht="26.4">
      <c r="A105" t="str">
        <f>IF(OR(Kalkulation!C112="Service",Kalkulation!C112="Individual costs and external services"),"",IF(Kalkulation!B112=0,"Epic","Project-task"))</f>
        <v>Project-task</v>
      </c>
      <c r="B105" s="45" t="str">
        <f>IF(OR(Kalkulation!C112="Service",Kalkulation!C112="Individual costs and external services"),"",IF(Kalkulation!B112=0,Kalkulation!C112,""))</f>
        <v/>
      </c>
      <c r="C105" t="str">
        <f>IF(A105="","",IF(Kalkulation!B112=0,"ghx-label-1",""))</f>
        <v/>
      </c>
      <c r="D105" s="45" t="str">
        <f>IF(Kalkulation!B112=0,"",IF(A104="",IF(B103="",D103,B103),IF(B104="",D104,B104)))</f>
        <v>Product Realization - Prototypes (B0 Samples) - PrkzZm</v>
      </c>
      <c r="E105">
        <f t="shared" si="7"/>
        <v>6095</v>
      </c>
      <c r="G105" s="45" t="str">
        <f>IF(Kalkulation!B112=0,IF(A105="Epic",B105," "),Kalkulation!C112)</f>
        <v>Safety Audit Pre-Assessment</v>
      </c>
      <c r="H105" t="str">
        <f t="shared" si="4"/>
        <v xml:space="preserve"> </v>
      </c>
      <c r="I105" t="str">
        <f t="shared" si="5"/>
        <v>Normal</v>
      </c>
      <c r="J105">
        <f>IF(OR(A105="",A105="Epic"),"",Kalkulation!F112*60*60)</f>
        <v>0</v>
      </c>
      <c r="K105">
        <f t="shared" si="6"/>
        <v>0</v>
      </c>
      <c r="L105" t="str">
        <f>CONCATENATE(Kalkulation!$C$3,": ",Kalkulation!$C$2,)</f>
        <v>write your component number(only integer): Projekt</v>
      </c>
      <c r="M105" t="str">
        <f>IF(A105="Epic",IF(Kalkulation!F112=0,"x",""),IF(OR(J105=0,A105="",B105=0),"x",""))</f>
        <v>x</v>
      </c>
    </row>
    <row r="106" spans="1:13" ht="26.4">
      <c r="A106" t="str">
        <f>IF(OR(Kalkulation!C113="Service",Kalkulation!C113="Individual costs and external services"),"",IF(Kalkulation!B113=0,"Epic","Project-task"))</f>
        <v>Project-task</v>
      </c>
      <c r="B106" s="45" t="str">
        <f>IF(OR(Kalkulation!C113="Service",Kalkulation!C113="Individual costs and external services"),"",IF(Kalkulation!B113=0,Kalkulation!C113,""))</f>
        <v/>
      </c>
      <c r="C106" t="str">
        <f>IF(A106="","",IF(Kalkulation!B113=0,"ghx-label-1",""))</f>
        <v/>
      </c>
      <c r="D106" s="45" t="str">
        <f>IF(Kalkulation!B113=0,"",IF(A105="",IF(B104="",D104,B104),IF(B105="",D105,B105)))</f>
        <v>Product Realization - Prototypes (B0 Samples) - PrkzZm</v>
      </c>
      <c r="E106">
        <f t="shared" si="7"/>
        <v>6096</v>
      </c>
      <c r="G106" s="45">
        <f>IF(Kalkulation!B113=0,IF(A106="Epic",B106," "),Kalkulation!C113)</f>
        <v>0</v>
      </c>
      <c r="H106" t="str">
        <f t="shared" si="4"/>
        <v xml:space="preserve"> </v>
      </c>
      <c r="I106" t="str">
        <f t="shared" si="5"/>
        <v>Normal</v>
      </c>
      <c r="J106">
        <f>IF(OR(A106="",A106="Epic"),"",Kalkulation!F113*60*60)</f>
        <v>0</v>
      </c>
      <c r="K106">
        <f t="shared" si="6"/>
        <v>0</v>
      </c>
      <c r="L106" t="str">
        <f>CONCATENATE(Kalkulation!$C$3,": ",Kalkulation!$C$2,)</f>
        <v>write your component number(only integer): Projekt</v>
      </c>
      <c r="M106" t="str">
        <f>IF(A106="Epic",IF(Kalkulation!F113=0,"x",""),IF(OR(J106=0,A106="",B106=0),"x",""))</f>
        <v>x</v>
      </c>
    </row>
    <row r="107" spans="1:13" ht="26.4">
      <c r="A107" t="str">
        <f>IF(OR(Kalkulation!C114="Service",Kalkulation!C114="Individual costs and external services"),"",IF(Kalkulation!B114=0,"Epic","Project-task"))</f>
        <v>Project-task</v>
      </c>
      <c r="B107" s="45" t="str">
        <f>IF(OR(Kalkulation!C114="Service",Kalkulation!C114="Individual costs and external services"),"",IF(Kalkulation!B114=0,Kalkulation!C114,""))</f>
        <v/>
      </c>
      <c r="C107" t="str">
        <f>IF(A107="","",IF(Kalkulation!B114=0,"ghx-label-1",""))</f>
        <v/>
      </c>
      <c r="D107" s="45" t="str">
        <f>IF(Kalkulation!B114=0,"",IF(A106="",IF(B105="",D105,B105),IF(B106="",D106,B106)))</f>
        <v>Product Realization - Prototypes (B0 Samples) - PrkzZm</v>
      </c>
      <c r="E107">
        <f t="shared" si="7"/>
        <v>6097</v>
      </c>
      <c r="G107" s="45">
        <f>IF(Kalkulation!B114=0,IF(A107="Epic",B107," "),Kalkulation!C114)</f>
        <v>0</v>
      </c>
      <c r="H107" t="str">
        <f t="shared" si="4"/>
        <v xml:space="preserve"> </v>
      </c>
      <c r="I107" t="str">
        <f t="shared" si="5"/>
        <v>Normal</v>
      </c>
      <c r="J107">
        <f>IF(OR(A107="",A107="Epic"),"",Kalkulation!F114*60*60)</f>
        <v>0</v>
      </c>
      <c r="K107">
        <f t="shared" si="6"/>
        <v>0</v>
      </c>
      <c r="L107" t="str">
        <f>CONCATENATE(Kalkulation!$C$3,": ",Kalkulation!$C$2,)</f>
        <v>write your component number(only integer): Projekt</v>
      </c>
      <c r="M107" t="str">
        <f>IF(A107="Epic",IF(Kalkulation!F114=0,"x",""),IF(OR(J107=0,A107="",B107=0),"x",""))</f>
        <v>x</v>
      </c>
    </row>
    <row r="108" spans="1:13" ht="26.4">
      <c r="A108" t="str">
        <f>IF(OR(Kalkulation!C115="Service",Kalkulation!C115="Individual costs and external services"),"",IF(Kalkulation!B115=0,"Epic","Project-task"))</f>
        <v>Epic</v>
      </c>
      <c r="B108" s="45" t="str">
        <f>IF(OR(Kalkulation!C115="Service",Kalkulation!C115="Individual costs and external services"),"",IF(Kalkulation!B115=0,Kalkulation!C115,""))</f>
        <v>Product Realization - Prototypes (B1 Samples) - PrkzZm</v>
      </c>
      <c r="C108" t="str">
        <f>IF(A108="","",IF(Kalkulation!B115=0,"ghx-label-1",""))</f>
        <v>ghx-label-1</v>
      </c>
      <c r="D108" s="45" t="str">
        <f>IF(Kalkulation!B115=0,"",IF(A107="",IF(B106="",D106,B106),IF(B107="",D107,B107)))</f>
        <v/>
      </c>
      <c r="E108">
        <f t="shared" si="7"/>
        <v>6098</v>
      </c>
      <c r="G108" s="45" t="str">
        <f>IF(Kalkulation!B115=0,IF(A108="Epic",B108," "),Kalkulation!C115)</f>
        <v>Product Realization - Prototypes (B1 Samples) - PrkzZm</v>
      </c>
      <c r="H108" t="str">
        <f t="shared" si="4"/>
        <v>Product Realization - Prototypes (B1 Samples) - PrkzZm</v>
      </c>
      <c r="I108" t="str">
        <f t="shared" si="5"/>
        <v>Normal</v>
      </c>
      <c r="J108" t="str">
        <f>IF(OR(A108="",A108="Epic"),"",Kalkulation!F115*60*60)</f>
        <v/>
      </c>
      <c r="K108" t="str">
        <f t="shared" si="6"/>
        <v/>
      </c>
      <c r="L108" t="str">
        <f>CONCATENATE(Kalkulation!$C$3,": ",Kalkulation!$C$2,)</f>
        <v>write your component number(only integer): Projekt</v>
      </c>
      <c r="M108" t="str">
        <f>IF(A108="Epic",IF(Kalkulation!F115=0,"x",""),IF(OR(J108=0,A108="",B108=0),"x",""))</f>
        <v>x</v>
      </c>
    </row>
    <row r="109" spans="1:13">
      <c r="A109" t="str">
        <f>IF(OR(Kalkulation!C116="Service",Kalkulation!C116="Individual costs and external services"),"",IF(Kalkulation!B116=0,"Epic","Project-task"))</f>
        <v/>
      </c>
      <c r="B109" s="45" t="str">
        <f>IF(OR(Kalkulation!C116="Service",Kalkulation!C116="Individual costs and external services"),"",IF(Kalkulation!B116=0,Kalkulation!C116,""))</f>
        <v/>
      </c>
      <c r="C109" t="str">
        <f>IF(A109="","",IF(Kalkulation!B116=0,"ghx-label-1",""))</f>
        <v/>
      </c>
      <c r="D109" s="45" t="str">
        <f>IF(Kalkulation!B116=0,"",IF(A108="",IF(B107="",D107,B107),IF(B108="",D108,B108)))</f>
        <v/>
      </c>
      <c r="E109" t="str">
        <f t="shared" si="7"/>
        <v/>
      </c>
      <c r="G109" s="45" t="str">
        <f>IF(Kalkulation!B116=0,IF(A109="Epic",B109," "),Kalkulation!C116)</f>
        <v xml:space="preserve"> </v>
      </c>
      <c r="H109" t="str">
        <f t="shared" si="4"/>
        <v xml:space="preserve"> </v>
      </c>
      <c r="I109" t="str">
        <f t="shared" si="5"/>
        <v/>
      </c>
      <c r="J109" t="str">
        <f>IF(OR(A109="",A109="Epic"),"",Kalkulation!F116*60*60)</f>
        <v/>
      </c>
      <c r="K109" t="str">
        <f t="shared" si="6"/>
        <v/>
      </c>
      <c r="L109" t="str">
        <f>CONCATENATE(Kalkulation!$C$3,": ",Kalkulation!$C$2,)</f>
        <v>write your component number(only integer): Projekt</v>
      </c>
      <c r="M109" t="str">
        <f>IF(A109="Epic",IF(Kalkulation!F116=0,"x",""),IF(OR(J109=0,A109="",B109=0),"x",""))</f>
        <v>x</v>
      </c>
    </row>
    <row r="110" spans="1:13" ht="26.4">
      <c r="A110" t="str">
        <f>IF(OR(Kalkulation!C117="Service",Kalkulation!C117="Individual costs and external services"),"",IF(Kalkulation!B117=0,"Epic","Project-task"))</f>
        <v>Project-task</v>
      </c>
      <c r="B110" s="45" t="str">
        <f>IF(OR(Kalkulation!C117="Service",Kalkulation!C117="Individual costs and external services"),"",IF(Kalkulation!B117=0,Kalkulation!C117,""))</f>
        <v/>
      </c>
      <c r="C110" t="str">
        <f>IF(A110="","",IF(Kalkulation!B117=0,"ghx-label-1",""))</f>
        <v/>
      </c>
      <c r="D110" s="45" t="str">
        <f>IF(Kalkulation!B117=0,"",IF(A109="",IF(B108="",D108,B108),IF(B109="",D109,B109)))</f>
        <v>Product Realization - Prototypes (B1 Samples) - PrkzZm</v>
      </c>
      <c r="E110">
        <f t="shared" si="7"/>
        <v>6099</v>
      </c>
      <c r="G110" s="45" t="str">
        <f>IF(Kalkulation!B117=0,IF(A110="Epic",B110," "),Kalkulation!C117)</f>
        <v>Revision of circuit diagram</v>
      </c>
      <c r="H110" t="str">
        <f t="shared" si="4"/>
        <v xml:space="preserve"> </v>
      </c>
      <c r="I110" t="str">
        <f t="shared" si="5"/>
        <v>Normal</v>
      </c>
      <c r="J110">
        <f>IF(OR(A110="",A110="Epic"),"",Kalkulation!F117*60*60)</f>
        <v>0</v>
      </c>
      <c r="K110">
        <f t="shared" si="6"/>
        <v>0</v>
      </c>
      <c r="L110" t="str">
        <f>CONCATENATE(Kalkulation!$C$3,": ",Kalkulation!$C$2,)</f>
        <v>write your component number(only integer): Projekt</v>
      </c>
      <c r="M110" t="str">
        <f>IF(A110="Epic",IF(Kalkulation!F117=0,"x",""),IF(OR(J110=0,A110="",B110=0),"x",""))</f>
        <v>x</v>
      </c>
    </row>
    <row r="111" spans="1:13" ht="26.4">
      <c r="A111" t="str">
        <f>IF(OR(Kalkulation!C118="Service",Kalkulation!C118="Individual costs and external services"),"",IF(Kalkulation!B118=0,"Epic","Project-task"))</f>
        <v>Project-task</v>
      </c>
      <c r="B111" s="45" t="str">
        <f>IF(OR(Kalkulation!C118="Service",Kalkulation!C118="Individual costs and external services"),"",IF(Kalkulation!B118=0,Kalkulation!C118,""))</f>
        <v/>
      </c>
      <c r="C111" t="str">
        <f>IF(A111="","",IF(Kalkulation!B118=0,"ghx-label-1",""))</f>
        <v/>
      </c>
      <c r="D111" s="45" t="str">
        <f>IF(Kalkulation!B118=0,"",IF(A110="",IF(B109="",D109,B109),IF(B110="",D110,B110)))</f>
        <v>Product Realization - Prototypes (B1 Samples) - PrkzZm</v>
      </c>
      <c r="E111">
        <f t="shared" si="7"/>
        <v>6100</v>
      </c>
      <c r="G111" s="45" t="str">
        <f>IF(Kalkulation!B118=0,IF(A111="Epic",B111," "),Kalkulation!C118)</f>
        <v>Cost and procurement review (purchasing)</v>
      </c>
      <c r="H111" t="str">
        <f t="shared" si="4"/>
        <v xml:space="preserve"> </v>
      </c>
      <c r="I111" t="str">
        <f t="shared" si="5"/>
        <v>Normal</v>
      </c>
      <c r="J111">
        <f>IF(OR(A111="",A111="Epic"),"",Kalkulation!F118*60*60)</f>
        <v>0</v>
      </c>
      <c r="K111">
        <f t="shared" si="6"/>
        <v>0</v>
      </c>
      <c r="L111" t="str">
        <f>CONCATENATE(Kalkulation!$C$3,": ",Kalkulation!$C$2,)</f>
        <v>write your component number(only integer): Projekt</v>
      </c>
      <c r="M111" t="str">
        <f>IF(A111="Epic",IF(Kalkulation!F118=0,"x",""),IF(OR(J111=0,A111="",B111=0),"x",""))</f>
        <v>x</v>
      </c>
    </row>
    <row r="112" spans="1:13" ht="26.4">
      <c r="A112" t="str">
        <f>IF(OR(Kalkulation!C119="Service",Kalkulation!C119="Individual costs and external services"),"",IF(Kalkulation!B119=0,"Epic","Project-task"))</f>
        <v>Project-task</v>
      </c>
      <c r="B112" s="45" t="str">
        <f>IF(OR(Kalkulation!C119="Service",Kalkulation!C119="Individual costs and external services"),"",IF(Kalkulation!B119=0,Kalkulation!C119,""))</f>
        <v/>
      </c>
      <c r="C112" t="str">
        <f>IF(A112="","",IF(Kalkulation!B119=0,"ghx-label-1",""))</f>
        <v/>
      </c>
      <c r="D112" s="45" t="str">
        <f>IF(Kalkulation!B119=0,"",IF(A111="",IF(B110="",D110,B110),IF(B111="",D111,B111)))</f>
        <v>Product Realization - Prototypes (B1 Samples) - PrkzZm</v>
      </c>
      <c r="E112">
        <f t="shared" si="7"/>
        <v>6101</v>
      </c>
      <c r="G112" s="45" t="str">
        <f>IF(Kalkulation!B119=0,IF(A112="Epic",B112," "),Kalkulation!C119)</f>
        <v>Schematic review (internal and customer)</v>
      </c>
      <c r="H112" t="str">
        <f t="shared" si="4"/>
        <v xml:space="preserve"> </v>
      </c>
      <c r="I112" t="str">
        <f t="shared" si="5"/>
        <v>Normal</v>
      </c>
      <c r="J112">
        <f>IF(OR(A112="",A112="Epic"),"",Kalkulation!F119*60*60)</f>
        <v>0</v>
      </c>
      <c r="K112">
        <f t="shared" si="6"/>
        <v>0</v>
      </c>
      <c r="L112" t="str">
        <f>CONCATENATE(Kalkulation!$C$3,": ",Kalkulation!$C$2,)</f>
        <v>write your component number(only integer): Projekt</v>
      </c>
      <c r="M112" t="str">
        <f>IF(A112="Epic",IF(Kalkulation!F119=0,"x",""),IF(OR(J112=0,A112="",B112=0),"x",""))</f>
        <v>x</v>
      </c>
    </row>
    <row r="113" spans="1:13" ht="26.4">
      <c r="A113" t="str">
        <f>IF(OR(Kalkulation!C120="Service",Kalkulation!C120="Individual costs and external services"),"",IF(Kalkulation!B120=0,"Epic","Project-task"))</f>
        <v>Project-task</v>
      </c>
      <c r="B113" s="45" t="str">
        <f>IF(OR(Kalkulation!C120="Service",Kalkulation!C120="Individual costs and external services"),"",IF(Kalkulation!B120=0,Kalkulation!C120,""))</f>
        <v/>
      </c>
      <c r="C113" t="str">
        <f>IF(A113="","",IF(Kalkulation!B120=0,"ghx-label-1",""))</f>
        <v/>
      </c>
      <c r="D113" s="45" t="str">
        <f>IF(Kalkulation!B120=0,"",IF(A112="",IF(B111="",D111,B111),IF(B112="",D112,B112)))</f>
        <v>Product Realization - Prototypes (B1 Samples) - PrkzZm</v>
      </c>
      <c r="E113">
        <f t="shared" si="7"/>
        <v>6102</v>
      </c>
      <c r="G113" s="45" t="str">
        <f>IF(Kalkulation!B120=0,IF(A113="Epic",B113," "),Kalkulation!C120)</f>
        <v>Revision Layout</v>
      </c>
      <c r="H113" t="str">
        <f t="shared" si="4"/>
        <v xml:space="preserve"> </v>
      </c>
      <c r="I113" t="str">
        <f t="shared" si="5"/>
        <v>Normal</v>
      </c>
      <c r="J113">
        <f>IF(OR(A113="",A113="Epic"),"",Kalkulation!F120*60*60)</f>
        <v>0</v>
      </c>
      <c r="K113">
        <f t="shared" si="6"/>
        <v>0</v>
      </c>
      <c r="L113" t="str">
        <f>CONCATENATE(Kalkulation!$C$3,": ",Kalkulation!$C$2,)</f>
        <v>write your component number(only integer): Projekt</v>
      </c>
      <c r="M113" t="str">
        <f>IF(A113="Epic",IF(Kalkulation!F120=0,"x",""),IF(OR(J113=0,A113="",B113=0),"x",""))</f>
        <v>x</v>
      </c>
    </row>
    <row r="114" spans="1:13" ht="26.4">
      <c r="A114" t="str">
        <f>IF(OR(Kalkulation!C121="Service",Kalkulation!C121="Individual costs and external services"),"",IF(Kalkulation!B121=0,"Epic","Project-task"))</f>
        <v>Project-task</v>
      </c>
      <c r="B114" s="45" t="str">
        <f>IF(OR(Kalkulation!C121="Service",Kalkulation!C121="Individual costs and external services"),"",IF(Kalkulation!B121=0,Kalkulation!C121,""))</f>
        <v/>
      </c>
      <c r="C114" t="str">
        <f>IF(A114="","",IF(Kalkulation!B121=0,"ghx-label-1",""))</f>
        <v/>
      </c>
      <c r="D114" s="45" t="str">
        <f>IF(Kalkulation!B121=0,"",IF(A113="",IF(B112="",D112,B112),IF(B113="",D113,B113)))</f>
        <v>Product Realization - Prototypes (B1 Samples) - PrkzZm</v>
      </c>
      <c r="E114">
        <f t="shared" si="7"/>
        <v>6103</v>
      </c>
      <c r="G114" s="45" t="str">
        <f>IF(Kalkulation!B121=0,IF(A114="Epic",B114," "),Kalkulation!C121)</f>
        <v>Layout review (internal and customer)</v>
      </c>
      <c r="H114" t="str">
        <f t="shared" si="4"/>
        <v xml:space="preserve"> </v>
      </c>
      <c r="I114" t="str">
        <f t="shared" si="5"/>
        <v>Normal</v>
      </c>
      <c r="J114">
        <f>IF(OR(A114="",A114="Epic"),"",Kalkulation!F121*60*60)</f>
        <v>0</v>
      </c>
      <c r="K114">
        <f t="shared" si="6"/>
        <v>0</v>
      </c>
      <c r="L114" t="str">
        <f>CONCATENATE(Kalkulation!$C$3,": ",Kalkulation!$C$2,)</f>
        <v>write your component number(only integer): Projekt</v>
      </c>
      <c r="M114" t="str">
        <f>IF(A114="Epic",IF(Kalkulation!F121=0,"x",""),IF(OR(J114=0,A114="",B114=0),"x",""))</f>
        <v>x</v>
      </c>
    </row>
    <row r="115" spans="1:13" ht="26.4">
      <c r="A115" t="str">
        <f>IF(OR(Kalkulation!C122="Service",Kalkulation!C122="Individual costs and external services"),"",IF(Kalkulation!B122=0,"Epic","Project-task"))</f>
        <v>Project-task</v>
      </c>
      <c r="B115" s="45" t="str">
        <f>IF(OR(Kalkulation!C122="Service",Kalkulation!C122="Individual costs and external services"),"",IF(Kalkulation!B122=0,Kalkulation!C122,""))</f>
        <v/>
      </c>
      <c r="C115" t="str">
        <f>IF(A115="","",IF(Kalkulation!B122=0,"ghx-label-1",""))</f>
        <v/>
      </c>
      <c r="D115" s="45" t="str">
        <f>IF(Kalkulation!B122=0,"",IF(A114="",IF(B113="",D113,B113),IF(B114="",D114,B114)))</f>
        <v>Product Realization - Prototypes (B1 Samples) - PrkzZm</v>
      </c>
      <c r="E115">
        <f t="shared" si="7"/>
        <v>6104</v>
      </c>
      <c r="G115" s="45" t="str">
        <f>IF(Kalkulation!B122=0,IF(A115="Epic",B115," "),Kalkulation!C122)</f>
        <v>Layout review (EMC testing institute) Rework</v>
      </c>
      <c r="H115" t="str">
        <f t="shared" si="4"/>
        <v xml:space="preserve"> </v>
      </c>
      <c r="I115" t="str">
        <f t="shared" si="5"/>
        <v>Normal</v>
      </c>
      <c r="J115">
        <f>IF(OR(A115="",A115="Epic"),"",Kalkulation!F122*60*60)</f>
        <v>0</v>
      </c>
      <c r="K115">
        <f t="shared" si="6"/>
        <v>0</v>
      </c>
      <c r="L115" t="str">
        <f>CONCATENATE(Kalkulation!$C$3,": ",Kalkulation!$C$2,)</f>
        <v>write your component number(only integer): Projekt</v>
      </c>
      <c r="M115" t="str">
        <f>IF(A115="Epic",IF(Kalkulation!F122=0,"x",""),IF(OR(J115=0,A115="",B115=0),"x",""))</f>
        <v>x</v>
      </c>
    </row>
    <row r="116" spans="1:13" ht="26.4">
      <c r="A116" t="str">
        <f>IF(OR(Kalkulation!C123="Service",Kalkulation!C123="Individual costs and external services"),"",IF(Kalkulation!B123=0,"Epic","Project-task"))</f>
        <v>Project-task</v>
      </c>
      <c r="B116" s="45" t="str">
        <f>IF(OR(Kalkulation!C123="Service",Kalkulation!C123="Individual costs and external services"),"",IF(Kalkulation!B123=0,Kalkulation!C123,""))</f>
        <v/>
      </c>
      <c r="C116" t="str">
        <f>IF(A116="","",IF(Kalkulation!B123=0,"ghx-label-1",""))</f>
        <v/>
      </c>
      <c r="D116" s="45" t="str">
        <f>IF(Kalkulation!B123=0,"",IF(A115="",IF(B114="",D114,B114),IF(B115="",D115,B115)))</f>
        <v>Product Realization - Prototypes (B1 Samples) - PrkzZm</v>
      </c>
      <c r="E116">
        <f t="shared" si="7"/>
        <v>6105</v>
      </c>
      <c r="G116" s="45" t="str">
        <f>IF(Kalkulation!B123=0,IF(A116="Epic",B116," "),Kalkulation!C123)</f>
        <v>Revision of mounting elements, cables and accessories</v>
      </c>
      <c r="H116" t="str">
        <f t="shared" si="4"/>
        <v xml:space="preserve"> </v>
      </c>
      <c r="I116" t="str">
        <f t="shared" si="5"/>
        <v>Normal</v>
      </c>
      <c r="J116">
        <f>IF(OR(A116="",A116="Epic"),"",Kalkulation!F123*60*60)</f>
        <v>0</v>
      </c>
      <c r="K116">
        <f t="shared" si="6"/>
        <v>0</v>
      </c>
      <c r="L116" t="str">
        <f>CONCATENATE(Kalkulation!$C$3,": ",Kalkulation!$C$2,)</f>
        <v>write your component number(only integer): Projekt</v>
      </c>
      <c r="M116" t="str">
        <f>IF(A116="Epic",IF(Kalkulation!F123=0,"x",""),IF(OR(J116=0,A116="",B116=0),"x",""))</f>
        <v>x</v>
      </c>
    </row>
    <row r="117" spans="1:13" ht="26.4">
      <c r="A117" t="str">
        <f>IF(OR(Kalkulation!C124="Service",Kalkulation!C124="Individual costs and external services"),"",IF(Kalkulation!B124=0,"Epic","Project-task"))</f>
        <v>Project-task</v>
      </c>
      <c r="B117" s="45" t="str">
        <f>IF(OR(Kalkulation!C124="Service",Kalkulation!C124="Individual costs and external services"),"",IF(Kalkulation!B124=0,Kalkulation!C124,""))</f>
        <v/>
      </c>
      <c r="C117" t="str">
        <f>IF(A117="","",IF(Kalkulation!B124=0,"ghx-label-1",""))</f>
        <v/>
      </c>
      <c r="D117" s="45" t="str">
        <f>IF(Kalkulation!B124=0,"",IF(A116="",IF(B115="",D115,B115),IF(B116="",D116,B116)))</f>
        <v>Product Realization - Prototypes (B1 Samples) - PrkzZm</v>
      </c>
      <c r="E117">
        <f t="shared" si="7"/>
        <v>6106</v>
      </c>
      <c r="G117" s="45" t="str">
        <f>IF(Kalkulation!B124=0,IF(A117="Epic",B117," "),Kalkulation!C124)</f>
        <v>Coordination with external service providers / suppliers</v>
      </c>
      <c r="H117" t="str">
        <f t="shared" si="4"/>
        <v xml:space="preserve"> </v>
      </c>
      <c r="I117" t="str">
        <f t="shared" si="5"/>
        <v>Normal</v>
      </c>
      <c r="J117">
        <f>IF(OR(A117="",A117="Epic"),"",Kalkulation!F124*60*60)</f>
        <v>0</v>
      </c>
      <c r="K117">
        <f t="shared" si="6"/>
        <v>0</v>
      </c>
      <c r="L117" t="str">
        <f>CONCATENATE(Kalkulation!$C$3,": ",Kalkulation!$C$2,)</f>
        <v>write your component number(only integer): Projekt</v>
      </c>
      <c r="M117" t="str">
        <f>IF(A117="Epic",IF(Kalkulation!F124=0,"x",""),IF(OR(J117=0,A117="",B117=0),"x",""))</f>
        <v>x</v>
      </c>
    </row>
    <row r="118" spans="1:13" ht="26.4">
      <c r="A118" t="str">
        <f>IF(OR(Kalkulation!C125="Service",Kalkulation!C125="Individual costs and external services"),"",IF(Kalkulation!B125=0,"Epic","Project-task"))</f>
        <v>Project-task</v>
      </c>
      <c r="B118" s="45" t="str">
        <f>IF(OR(Kalkulation!C125="Service",Kalkulation!C125="Individual costs and external services"),"",IF(Kalkulation!B125=0,Kalkulation!C125,""))</f>
        <v/>
      </c>
      <c r="C118" t="str">
        <f>IF(A118="","",IF(Kalkulation!B125=0,"ghx-label-1",""))</f>
        <v/>
      </c>
      <c r="D118" s="45" t="str">
        <f>IF(Kalkulation!B125=0,"",IF(A117="",IF(B116="",D116,B116),IF(B117="",D117,B117)))</f>
        <v>Product Realization - Prototypes (B1 Samples) - PrkzZm</v>
      </c>
      <c r="E118">
        <f t="shared" si="7"/>
        <v>6107</v>
      </c>
      <c r="G118" s="45" t="str">
        <f>IF(Kalkulation!B125=0,IF(A118="Epic",B118," "),Kalkulation!C125)</f>
        <v>Material procurement for prototypes and test setups</v>
      </c>
      <c r="H118" t="str">
        <f t="shared" si="4"/>
        <v xml:space="preserve"> </v>
      </c>
      <c r="I118" t="str">
        <f t="shared" si="5"/>
        <v>Normal</v>
      </c>
      <c r="J118">
        <f>IF(OR(A118="",A118="Epic"),"",Kalkulation!F125*60*60)</f>
        <v>0</v>
      </c>
      <c r="K118">
        <f t="shared" si="6"/>
        <v>0</v>
      </c>
      <c r="L118" t="str">
        <f>CONCATENATE(Kalkulation!$C$3,": ",Kalkulation!$C$2,)</f>
        <v>write your component number(only integer): Projekt</v>
      </c>
      <c r="M118" t="str">
        <f>IF(A118="Epic",IF(Kalkulation!F125=0,"x",""),IF(OR(J118=0,A118="",B118=0),"x",""))</f>
        <v>x</v>
      </c>
    </row>
    <row r="119" spans="1:13" ht="26.4">
      <c r="A119" t="str">
        <f>IF(OR(Kalkulation!C126="Service",Kalkulation!C126="Individual costs and external services"),"",IF(Kalkulation!B126=0,"Epic","Project-task"))</f>
        <v>Project-task</v>
      </c>
      <c r="B119" s="45" t="str">
        <f>IF(OR(Kalkulation!C126="Service",Kalkulation!C126="Individual costs and external services"),"",IF(Kalkulation!B126=0,Kalkulation!C126,""))</f>
        <v/>
      </c>
      <c r="C119" t="str">
        <f>IF(A119="","",IF(Kalkulation!B126=0,"ghx-label-1",""))</f>
        <v/>
      </c>
      <c r="D119" s="45" t="str">
        <f>IF(Kalkulation!B126=0,"",IF(A118="",IF(B117="",D117,B117),IF(B118="",D118,B118)))</f>
        <v>Product Realization - Prototypes (B1 Samples) - PrkzZm</v>
      </c>
      <c r="E119">
        <f t="shared" si="7"/>
        <v>6108</v>
      </c>
      <c r="G119" s="45" t="str">
        <f>IF(Kalkulation!B126=0,IF(A119="Epic",B119," "),Kalkulation!C126)</f>
        <v>Construction of the B1 prototypes (12 pieces)</v>
      </c>
      <c r="H119" t="str">
        <f t="shared" si="4"/>
        <v xml:space="preserve"> </v>
      </c>
      <c r="I119" t="str">
        <f t="shared" si="5"/>
        <v>Normal</v>
      </c>
      <c r="J119">
        <f>IF(OR(A119="",A119="Epic"),"",Kalkulation!F126*60*60)</f>
        <v>0</v>
      </c>
      <c r="K119">
        <f t="shared" si="6"/>
        <v>0</v>
      </c>
      <c r="L119" t="str">
        <f>CONCATENATE(Kalkulation!$C$3,": ",Kalkulation!$C$2,)</f>
        <v>write your component number(only integer): Projekt</v>
      </c>
      <c r="M119" t="str">
        <f>IF(A119="Epic",IF(Kalkulation!F126=0,"x",""),IF(OR(J119=0,A119="",B119=0),"x",""))</f>
        <v>x</v>
      </c>
    </row>
    <row r="120" spans="1:13" ht="26.4">
      <c r="A120" t="str">
        <f>IF(OR(Kalkulation!C127="Service",Kalkulation!C127="Individual costs and external services"),"",IF(Kalkulation!B127=0,"Epic","Project-task"))</f>
        <v>Project-task</v>
      </c>
      <c r="B120" s="45" t="str">
        <f>IF(OR(Kalkulation!C127="Service",Kalkulation!C127="Individual costs and external services"),"",IF(Kalkulation!B127=0,Kalkulation!C127,""))</f>
        <v/>
      </c>
      <c r="C120" t="str">
        <f>IF(A120="","",IF(Kalkulation!B127=0,"ghx-label-1",""))</f>
        <v/>
      </c>
      <c r="D120" s="45" t="str">
        <f>IF(Kalkulation!B127=0,"",IF(A119="",IF(B118="",D118,B118),IF(B119="",D119,B119)))</f>
        <v>Product Realization - Prototypes (B1 Samples) - PrkzZm</v>
      </c>
      <c r="E120">
        <f t="shared" si="7"/>
        <v>6109</v>
      </c>
      <c r="G120" s="45" t="str">
        <f>IF(Kalkulation!B127=0,IF(A120="Epic",B120," "),Kalkulation!C127)</f>
        <v>Software development (implementation of all functions, adaptations, stress tests, fine-tuning)</v>
      </c>
      <c r="H120" t="str">
        <f t="shared" si="4"/>
        <v xml:space="preserve"> </v>
      </c>
      <c r="I120" t="str">
        <f t="shared" si="5"/>
        <v>Normal</v>
      </c>
      <c r="J120">
        <f>IF(OR(A120="",A120="Epic"),"",Kalkulation!F127*60*60)</f>
        <v>0</v>
      </c>
      <c r="K120">
        <f t="shared" si="6"/>
        <v>0</v>
      </c>
      <c r="L120" t="str">
        <f>CONCATENATE(Kalkulation!$C$3,": ",Kalkulation!$C$2,)</f>
        <v>write your component number(only integer): Projekt</v>
      </c>
      <c r="M120" t="str">
        <f>IF(A120="Epic",IF(Kalkulation!F127=0,"x",""),IF(OR(J120=0,A120="",B120=0),"x",""))</f>
        <v>x</v>
      </c>
    </row>
    <row r="121" spans="1:13" ht="26.4">
      <c r="A121" t="str">
        <f>IF(OR(Kalkulation!C128="Service",Kalkulation!C128="Individual costs and external services"),"",IF(Kalkulation!B128=0,"Epic","Project-task"))</f>
        <v>Project-task</v>
      </c>
      <c r="B121" s="45" t="str">
        <f>IF(OR(Kalkulation!C128="Service",Kalkulation!C128="Individual costs and external services"),"",IF(Kalkulation!B128=0,Kalkulation!C128,""))</f>
        <v/>
      </c>
      <c r="C121" t="str">
        <f>IF(A121="","",IF(Kalkulation!B128=0,"ghx-label-1",""))</f>
        <v/>
      </c>
      <c r="D121" s="45" t="str">
        <f>IF(Kalkulation!B128=0,"",IF(A120="",IF(B119="",D119,B119),IF(B120="",D120,B120)))</f>
        <v>Product Realization - Prototypes (B1 Samples) - PrkzZm</v>
      </c>
      <c r="E121">
        <f t="shared" si="7"/>
        <v>6110</v>
      </c>
      <c r="G121" s="45" t="str">
        <f>IF(Kalkulation!B128=0,IF(A121="Epic",B121," "),Kalkulation!C128)</f>
        <v>Commissioning of the B1 prototypes</v>
      </c>
      <c r="H121" t="str">
        <f t="shared" si="4"/>
        <v xml:space="preserve"> </v>
      </c>
      <c r="I121" t="str">
        <f t="shared" si="5"/>
        <v>Normal</v>
      </c>
      <c r="J121">
        <f>IF(OR(A121="",A121="Epic"),"",Kalkulation!F128*60*60)</f>
        <v>0</v>
      </c>
      <c r="K121">
        <f t="shared" si="6"/>
        <v>0</v>
      </c>
      <c r="L121" t="str">
        <f>CONCATENATE(Kalkulation!$C$3,": ",Kalkulation!$C$2,)</f>
        <v>write your component number(only integer): Projekt</v>
      </c>
      <c r="M121" t="str">
        <f>IF(A121="Epic",IF(Kalkulation!F128=0,"x",""),IF(OR(J121=0,A121="",B121=0),"x",""))</f>
        <v>x</v>
      </c>
    </row>
    <row r="122" spans="1:13" ht="26.4">
      <c r="A122" t="str">
        <f>IF(OR(Kalkulation!C129="Service",Kalkulation!C129="Individual costs and external services"),"",IF(Kalkulation!B129=0,"Epic","Project-task"))</f>
        <v>Project-task</v>
      </c>
      <c r="B122" s="45" t="str">
        <f>IF(OR(Kalkulation!C129="Service",Kalkulation!C129="Individual costs and external services"),"",IF(Kalkulation!B129=0,Kalkulation!C129,""))</f>
        <v/>
      </c>
      <c r="C122" t="str">
        <f>IF(A122="","",IF(Kalkulation!B129=0,"ghx-label-1",""))</f>
        <v/>
      </c>
      <c r="D122" s="45" t="str">
        <f>IF(Kalkulation!B129=0,"",IF(A121="",IF(B120="",D120,B120),IF(B121="",D121,B121)))</f>
        <v>Product Realization - Prototypes (B1 Samples) - PrkzZm</v>
      </c>
      <c r="E122">
        <f t="shared" si="7"/>
        <v>6111</v>
      </c>
      <c r="G122" s="45" t="str">
        <f>IF(Kalkulation!B129=0,IF(A122="Epic",B122," "),Kalkulation!C129)</f>
        <v>Hardware Verification Test</v>
      </c>
      <c r="H122" t="str">
        <f t="shared" si="4"/>
        <v xml:space="preserve"> </v>
      </c>
      <c r="I122" t="str">
        <f t="shared" si="5"/>
        <v>Normal</v>
      </c>
      <c r="J122">
        <f>IF(OR(A122="",A122="Epic"),"",Kalkulation!F129*60*60)</f>
        <v>0</v>
      </c>
      <c r="K122">
        <f t="shared" si="6"/>
        <v>0</v>
      </c>
      <c r="L122" t="str">
        <f>CONCATENATE(Kalkulation!$C$3,": ",Kalkulation!$C$2,)</f>
        <v>write your component number(only integer): Projekt</v>
      </c>
      <c r="M122" t="str">
        <f>IF(A122="Epic",IF(Kalkulation!F129=0,"x",""),IF(OR(J122=0,A122="",B122=0),"x",""))</f>
        <v>x</v>
      </c>
    </row>
    <row r="123" spans="1:13" ht="26.4">
      <c r="A123" t="str">
        <f>IF(OR(Kalkulation!C130="Service",Kalkulation!C130="Individual costs and external services"),"",IF(Kalkulation!B130=0,"Epic","Project-task"))</f>
        <v>Project-task</v>
      </c>
      <c r="B123" s="45" t="str">
        <f>IF(OR(Kalkulation!C130="Service",Kalkulation!C130="Individual costs and external services"),"",IF(Kalkulation!B130=0,Kalkulation!C130,""))</f>
        <v/>
      </c>
      <c r="C123" t="str">
        <f>IF(A123="","",IF(Kalkulation!B130=0,"ghx-label-1",""))</f>
        <v/>
      </c>
      <c r="D123" s="45" t="str">
        <f>IF(Kalkulation!B130=0,"",IF(A122="",IF(B121="",D121,B121),IF(B122="",D122,B122)))</f>
        <v>Product Realization - Prototypes (B1 Samples) - PrkzZm</v>
      </c>
      <c r="E123">
        <f t="shared" si="7"/>
        <v>6112</v>
      </c>
      <c r="G123" s="45" t="str">
        <f>IF(Kalkulation!B130=0,IF(A123="Epic",B123," "),Kalkulation!C130)</f>
        <v>Accompaniment of EMC system testing</v>
      </c>
      <c r="H123" t="str">
        <f t="shared" si="4"/>
        <v xml:space="preserve"> </v>
      </c>
      <c r="I123" t="str">
        <f t="shared" si="5"/>
        <v>Normal</v>
      </c>
      <c r="J123">
        <f>IF(OR(A123="",A123="Epic"),"",Kalkulation!F130*60*60)</f>
        <v>0</v>
      </c>
      <c r="K123">
        <f t="shared" si="6"/>
        <v>0</v>
      </c>
      <c r="L123" t="str">
        <f>CONCATENATE(Kalkulation!$C$3,": ",Kalkulation!$C$2,)</f>
        <v>write your component number(only integer): Projekt</v>
      </c>
      <c r="M123" t="str">
        <f>IF(A123="Epic",IF(Kalkulation!F130=0,"x",""),IF(OR(J123=0,A123="",B123=0),"x",""))</f>
        <v>x</v>
      </c>
    </row>
    <row r="124" spans="1:13" ht="26.4">
      <c r="A124" t="str">
        <f>IF(OR(Kalkulation!C131="Service",Kalkulation!C131="Individual costs and external services"),"",IF(Kalkulation!B131=0,"Epic","Project-task"))</f>
        <v>Project-task</v>
      </c>
      <c r="B124" s="45" t="str">
        <f>IF(OR(Kalkulation!C131="Service",Kalkulation!C131="Individual costs and external services"),"",IF(Kalkulation!B131=0,Kalkulation!C131,""))</f>
        <v/>
      </c>
      <c r="C124" t="str">
        <f>IF(A124="","",IF(Kalkulation!B131=0,"ghx-label-1",""))</f>
        <v/>
      </c>
      <c r="D124" s="45" t="str">
        <f>IF(Kalkulation!B131=0,"",IF(A123="",IF(B122="",D122,B122),IF(B123="",D123,B123)))</f>
        <v>Product Realization - Prototypes (B1 Samples) - PrkzZm</v>
      </c>
      <c r="E124">
        <f t="shared" si="7"/>
        <v>6113</v>
      </c>
      <c r="G124" s="45" t="str">
        <f>IF(Kalkulation!B131=0,IF(A124="Epic",B124," "),Kalkulation!C131)</f>
        <v>Carrying out a safety check</v>
      </c>
      <c r="H124" t="str">
        <f t="shared" si="4"/>
        <v xml:space="preserve"> </v>
      </c>
      <c r="I124" t="str">
        <f t="shared" si="5"/>
        <v>Normal</v>
      </c>
      <c r="J124">
        <f>IF(OR(A124="",A124="Epic"),"",Kalkulation!F131*60*60)</f>
        <v>0</v>
      </c>
      <c r="K124">
        <f t="shared" si="6"/>
        <v>0</v>
      </c>
      <c r="L124" t="str">
        <f>CONCATENATE(Kalkulation!$C$3,": ",Kalkulation!$C$2,)</f>
        <v>write your component number(only integer): Projekt</v>
      </c>
      <c r="M124" t="str">
        <f>IF(A124="Epic",IF(Kalkulation!F131=0,"x",""),IF(OR(J124=0,A124="",B124=0),"x",""))</f>
        <v>x</v>
      </c>
    </row>
    <row r="125" spans="1:13" ht="26.4">
      <c r="A125" t="str">
        <f>IF(OR(Kalkulation!C132="Service",Kalkulation!C132="Individual costs and external services"),"",IF(Kalkulation!B132=0,"Epic","Project-task"))</f>
        <v>Project-task</v>
      </c>
      <c r="B125" s="45" t="str">
        <f>IF(OR(Kalkulation!C132="Service",Kalkulation!C132="Individual costs and external services"),"",IF(Kalkulation!B132=0,Kalkulation!C132,""))</f>
        <v/>
      </c>
      <c r="C125" t="str">
        <f>IF(A125="","",IF(Kalkulation!B132=0,"ghx-label-1",""))</f>
        <v/>
      </c>
      <c r="D125" s="45" t="str">
        <f>IF(Kalkulation!B132=0,"",IF(A124="",IF(B123="",D123,B123),IF(B124="",D124,B124)))</f>
        <v>Product Realization - Prototypes (B1 Samples) - PrkzZm</v>
      </c>
      <c r="E125">
        <f t="shared" si="7"/>
        <v>6114</v>
      </c>
      <c r="G125" s="45" t="str">
        <f>IF(Kalkulation!B132=0,IF(A125="Epic",B125," "),Kalkulation!C132)</f>
        <v>System test (contech)</v>
      </c>
      <c r="H125" t="str">
        <f t="shared" si="4"/>
        <v xml:space="preserve"> </v>
      </c>
      <c r="I125" t="str">
        <f t="shared" si="5"/>
        <v>Normal</v>
      </c>
      <c r="J125">
        <f>IF(OR(A125="",A125="Epic"),"",Kalkulation!F132*60*60)</f>
        <v>0</v>
      </c>
      <c r="K125">
        <f t="shared" si="6"/>
        <v>0</v>
      </c>
      <c r="L125" t="str">
        <f>CONCATENATE(Kalkulation!$C$3,": ",Kalkulation!$C$2,)</f>
        <v>write your component number(only integer): Projekt</v>
      </c>
      <c r="M125" t="str">
        <f>IF(A125="Epic",IF(Kalkulation!F132=0,"x",""),IF(OR(J125=0,A125="",B125=0),"x",""))</f>
        <v>x</v>
      </c>
    </row>
    <row r="126" spans="1:13" ht="26.4">
      <c r="A126" t="str">
        <f>IF(OR(Kalkulation!C133="Service",Kalkulation!C133="Individual costs and external services"),"",IF(Kalkulation!B133=0,"Epic","Project-task"))</f>
        <v>Project-task</v>
      </c>
      <c r="B126" s="45" t="str">
        <f>IF(OR(Kalkulation!C133="Service",Kalkulation!C133="Individual costs and external services"),"",IF(Kalkulation!B133=0,Kalkulation!C133,""))</f>
        <v/>
      </c>
      <c r="C126" t="str">
        <f>IF(A126="","",IF(Kalkulation!B133=0,"ghx-label-1",""))</f>
        <v/>
      </c>
      <c r="D126" s="45" t="str">
        <f>IF(Kalkulation!B133=0,"",IF(A125="",IF(B124="",D124,B124),IF(B125="",D125,B125)))</f>
        <v>Product Realization - Prototypes (B1 Samples) - PrkzZm</v>
      </c>
      <c r="E126">
        <f t="shared" si="7"/>
        <v>6115</v>
      </c>
      <c r="G126" s="45" t="str">
        <f>IF(Kalkulation!B133=0,IF(A126="Epic",B126," "),Kalkulation!C133)</f>
        <v>System test customer (support by contech)</v>
      </c>
      <c r="H126" t="str">
        <f t="shared" si="4"/>
        <v xml:space="preserve"> </v>
      </c>
      <c r="I126" t="str">
        <f t="shared" si="5"/>
        <v>Normal</v>
      </c>
      <c r="J126">
        <f>IF(OR(A126="",A126="Epic"),"",Kalkulation!F133*60*60)</f>
        <v>0</v>
      </c>
      <c r="K126">
        <f t="shared" si="6"/>
        <v>0</v>
      </c>
      <c r="L126" t="str">
        <f>CONCATENATE(Kalkulation!$C$3,": ",Kalkulation!$C$2,)</f>
        <v>write your component number(only integer): Projekt</v>
      </c>
      <c r="M126" t="str">
        <f>IF(A126="Epic",IF(Kalkulation!F133=0,"x",""),IF(OR(J126=0,A126="",B126=0),"x",""))</f>
        <v>x</v>
      </c>
    </row>
    <row r="127" spans="1:13" ht="26.4">
      <c r="A127" t="str">
        <f>IF(OR(Kalkulation!C134="Service",Kalkulation!C134="Individual costs and external services"),"",IF(Kalkulation!B134=0,"Epic","Project-task"))</f>
        <v>Project-task</v>
      </c>
      <c r="B127" s="45" t="str">
        <f>IF(OR(Kalkulation!C134="Service",Kalkulation!C134="Individual costs and external services"),"",IF(Kalkulation!B134=0,Kalkulation!C134,""))</f>
        <v/>
      </c>
      <c r="C127" t="str">
        <f>IF(A127="","",IF(Kalkulation!B134=0,"ghx-label-1",""))</f>
        <v/>
      </c>
      <c r="D127" s="45" t="str">
        <f>IF(Kalkulation!B134=0,"",IF(A126="",IF(B125="",D125,B125),IF(B126="",D126,B126)))</f>
        <v>Product Realization - Prototypes (B1 Samples) - PrkzZm</v>
      </c>
      <c r="E127">
        <f t="shared" si="7"/>
        <v>6116</v>
      </c>
      <c r="G127" s="45" t="str">
        <f>IF(Kalkulation!B134=0,IF(A127="Epic",B127," "),Kalkulation!C134)</f>
        <v>Review Product Costing</v>
      </c>
      <c r="H127" t="str">
        <f t="shared" si="4"/>
        <v xml:space="preserve"> </v>
      </c>
      <c r="I127" t="str">
        <f t="shared" si="5"/>
        <v>Normal</v>
      </c>
      <c r="J127">
        <f>IF(OR(A127="",A127="Epic"),"",Kalkulation!F134*60*60)</f>
        <v>0</v>
      </c>
      <c r="K127">
        <f t="shared" si="6"/>
        <v>0</v>
      </c>
      <c r="L127" t="str">
        <f>CONCATENATE(Kalkulation!$C$3,": ",Kalkulation!$C$2,)</f>
        <v>write your component number(only integer): Projekt</v>
      </c>
      <c r="M127" t="str">
        <f>IF(A127="Epic",IF(Kalkulation!F134=0,"x",""),IF(OR(J127=0,A127="",B127=0),"x",""))</f>
        <v>x</v>
      </c>
    </row>
    <row r="128" spans="1:13" ht="26.4">
      <c r="A128" t="str">
        <f>IF(OR(Kalkulation!C135="Service",Kalkulation!C135="Individual costs and external services"),"",IF(Kalkulation!B135=0,"Epic","Project-task"))</f>
        <v>Project-task</v>
      </c>
      <c r="B128" s="45" t="str">
        <f>IF(OR(Kalkulation!C135="Service",Kalkulation!C135="Individual costs and external services"),"",IF(Kalkulation!B135=0,Kalkulation!C135,""))</f>
        <v/>
      </c>
      <c r="C128" t="str">
        <f>IF(A128="","",IF(Kalkulation!B135=0,"ghx-label-1",""))</f>
        <v/>
      </c>
      <c r="D128" s="45" t="str">
        <f>IF(Kalkulation!B135=0,"",IF(A127="",IF(B126="",D126,B126),IF(B127="",D127,B127)))</f>
        <v>Product Realization - Prototypes (B1 Samples) - PrkzZm</v>
      </c>
      <c r="E128">
        <f t="shared" si="7"/>
        <v>6117</v>
      </c>
      <c r="G128" s="45" t="str">
        <f>IF(Kalkulation!B135=0,IF(A128="Epic",B128," "),Kalkulation!C135)</f>
        <v>Updating of functional specifications / internal documentation</v>
      </c>
      <c r="H128" t="str">
        <f t="shared" si="4"/>
        <v xml:space="preserve"> </v>
      </c>
      <c r="I128" t="str">
        <f t="shared" si="5"/>
        <v>Normal</v>
      </c>
      <c r="J128">
        <f>IF(OR(A128="",A128="Epic"),"",Kalkulation!F135*60*60)</f>
        <v>0</v>
      </c>
      <c r="K128">
        <f t="shared" si="6"/>
        <v>0</v>
      </c>
      <c r="L128" t="str">
        <f>CONCATENATE(Kalkulation!$C$3,": ",Kalkulation!$C$2,)</f>
        <v>write your component number(only integer): Projekt</v>
      </c>
      <c r="M128" t="str">
        <f>IF(A128="Epic",IF(Kalkulation!F135=0,"x",""),IF(OR(J128=0,A128="",B128=0),"x",""))</f>
        <v>x</v>
      </c>
    </row>
    <row r="129" spans="1:13" ht="26.4">
      <c r="A129" t="str">
        <f>IF(OR(Kalkulation!C136="Service",Kalkulation!C136="Individual costs and external services"),"",IF(Kalkulation!B136=0,"Epic","Project-task"))</f>
        <v>Project-task</v>
      </c>
      <c r="B129" s="45" t="str">
        <f>IF(OR(Kalkulation!C136="Service",Kalkulation!C136="Individual costs and external services"),"",IF(Kalkulation!B136=0,Kalkulation!C136,""))</f>
        <v/>
      </c>
      <c r="C129" t="str">
        <f>IF(A129="","",IF(Kalkulation!B136=0,"ghx-label-1",""))</f>
        <v/>
      </c>
      <c r="D129" s="45" t="str">
        <f>IF(Kalkulation!B136=0,"",IF(A128="",IF(B127="",D127,B127),IF(B128="",D128,B128)))</f>
        <v>Product Realization - Prototypes (B1 Samples) - PrkzZm</v>
      </c>
      <c r="E129">
        <f t="shared" si="7"/>
        <v>6118</v>
      </c>
      <c r="G129" s="45">
        <f>IF(Kalkulation!B136=0,IF(A129="Epic",B129," "),Kalkulation!C136)</f>
        <v>0</v>
      </c>
      <c r="H129" t="str">
        <f t="shared" si="4"/>
        <v xml:space="preserve"> </v>
      </c>
      <c r="I129" t="str">
        <f t="shared" si="5"/>
        <v>Normal</v>
      </c>
      <c r="J129">
        <f>IF(OR(A129="",A129="Epic"),"",Kalkulation!F136*60*60)</f>
        <v>0</v>
      </c>
      <c r="K129">
        <f t="shared" si="6"/>
        <v>0</v>
      </c>
      <c r="L129" t="str">
        <f>CONCATENATE(Kalkulation!$C$3,": ",Kalkulation!$C$2,)</f>
        <v>write your component number(only integer): Projekt</v>
      </c>
      <c r="M129" t="str">
        <f>IF(A129="Epic",IF(Kalkulation!F136=0,"x",""),IF(OR(J129=0,A129="",B129=0),"x",""))</f>
        <v>x</v>
      </c>
    </row>
    <row r="130" spans="1:13" ht="26.4">
      <c r="A130" t="str">
        <f>IF(OR(Kalkulation!C137="Service",Kalkulation!C137="Individual costs and external services"),"",IF(Kalkulation!B137=0,"Epic","Project-task"))</f>
        <v>Project-task</v>
      </c>
      <c r="B130" s="45" t="str">
        <f>IF(OR(Kalkulation!C137="Service",Kalkulation!C137="Individual costs and external services"),"",IF(Kalkulation!B137=0,Kalkulation!C137,""))</f>
        <v/>
      </c>
      <c r="C130" t="str">
        <f>IF(A130="","",IF(Kalkulation!B137=0,"ghx-label-1",""))</f>
        <v/>
      </c>
      <c r="D130" s="45" t="str">
        <f>IF(Kalkulation!B137=0,"",IF(A129="",IF(B128="",D128,B128),IF(B129="",D129,B129)))</f>
        <v>Product Realization - Prototypes (B1 Samples) - PrkzZm</v>
      </c>
      <c r="E130">
        <f t="shared" si="7"/>
        <v>6119</v>
      </c>
      <c r="G130" s="45">
        <f>IF(Kalkulation!B137=0,IF(A130="Epic",B130," "),Kalkulation!C137)</f>
        <v>0</v>
      </c>
      <c r="H130" t="str">
        <f t="shared" si="4"/>
        <v xml:space="preserve"> </v>
      </c>
      <c r="I130" t="str">
        <f t="shared" si="5"/>
        <v>Normal</v>
      </c>
      <c r="J130">
        <f>IF(OR(A130="",A130="Epic"),"",Kalkulation!F137*60*60)</f>
        <v>0</v>
      </c>
      <c r="K130">
        <f t="shared" si="6"/>
        <v>0</v>
      </c>
      <c r="L130" t="str">
        <f>CONCATENATE(Kalkulation!$C$3,": ",Kalkulation!$C$2,)</f>
        <v>write your component number(only integer): Projekt</v>
      </c>
      <c r="M130" t="str">
        <f>IF(A130="Epic",IF(Kalkulation!F137=0,"x",""),IF(OR(J130=0,A130="",B130=0),"x",""))</f>
        <v>x</v>
      </c>
    </row>
    <row r="131" spans="1:13" ht="26.4">
      <c r="A131" t="str">
        <f>IF(OR(Kalkulation!C138="Service",Kalkulation!C138="Individual costs and external services"),"",IF(Kalkulation!B138=0,"Epic","Project-task"))</f>
        <v>Project-task</v>
      </c>
      <c r="B131" s="45" t="str">
        <f>IF(OR(Kalkulation!C138="Service",Kalkulation!C138="Individual costs and external services"),"",IF(Kalkulation!B138=0,Kalkulation!C138,""))</f>
        <v/>
      </c>
      <c r="C131" t="str">
        <f>IF(A131="","",IF(Kalkulation!B138=0,"ghx-label-1",""))</f>
        <v/>
      </c>
      <c r="D131" s="45" t="str">
        <f>IF(Kalkulation!B138=0,"",IF(A130="",IF(B129="",D129,B129),IF(B130="",D130,B130)))</f>
        <v>Product Realization - Prototypes (B1 Samples) - PrkzZm</v>
      </c>
      <c r="E131">
        <f t="shared" si="7"/>
        <v>6120</v>
      </c>
      <c r="G131" s="45">
        <f>IF(Kalkulation!B138=0,IF(A131="Epic",B131," "),Kalkulation!C138)</f>
        <v>0</v>
      </c>
      <c r="H131" t="str">
        <f t="shared" ref="H131:H194" si="8">IF(A131="Epic",B131," ")</f>
        <v xml:space="preserve"> </v>
      </c>
      <c r="I131" t="str">
        <f t="shared" ref="I131:I194" si="9">IF(A131="","","Normal")</f>
        <v>Normal</v>
      </c>
      <c r="J131">
        <f>IF(OR(A131="",A131="Epic"),"",Kalkulation!F138*60*60)</f>
        <v>0</v>
      </c>
      <c r="K131">
        <f t="shared" ref="K131:K194" si="10">J131</f>
        <v>0</v>
      </c>
      <c r="L131" t="str">
        <f>CONCATENATE(Kalkulation!$C$3,": ",Kalkulation!$C$2,)</f>
        <v>write your component number(only integer): Projekt</v>
      </c>
      <c r="M131" t="str">
        <f>IF(A131="Epic",IF(Kalkulation!F138=0,"x",""),IF(OR(J131=0,A131="",B131=0),"x",""))</f>
        <v>x</v>
      </c>
    </row>
    <row r="132" spans="1:13" ht="26.4">
      <c r="A132" t="str">
        <f>IF(OR(Kalkulation!C139="Service",Kalkulation!C139="Individual costs and external services"),"",IF(Kalkulation!B139=0,"Epic","Project-task"))</f>
        <v>Project-task</v>
      </c>
      <c r="B132" s="45" t="str">
        <f>IF(OR(Kalkulation!C139="Service",Kalkulation!C139="Individual costs and external services"),"",IF(Kalkulation!B139=0,Kalkulation!C139,""))</f>
        <v/>
      </c>
      <c r="C132" t="str">
        <f>IF(A132="","",IF(Kalkulation!B139=0,"ghx-label-1",""))</f>
        <v/>
      </c>
      <c r="D132" s="45" t="str">
        <f>IF(Kalkulation!B139=0,"",IF(A131="",IF(B130="",D130,B130),IF(B131="",D131,B131)))</f>
        <v>Product Realization - Prototypes (B1 Samples) - PrkzZm</v>
      </c>
      <c r="E132">
        <f t="shared" ref="E132:E195" si="11">IF(A132="","",IF(E131="",E130+1,E131+1))</f>
        <v>6121</v>
      </c>
      <c r="G132" s="45">
        <f>IF(Kalkulation!B139=0,IF(A132="Epic",B132," "),Kalkulation!C139)</f>
        <v>0</v>
      </c>
      <c r="H132" t="str">
        <f t="shared" si="8"/>
        <v xml:space="preserve"> </v>
      </c>
      <c r="I132" t="str">
        <f t="shared" si="9"/>
        <v>Normal</v>
      </c>
      <c r="J132">
        <f>IF(OR(A132="",A132="Epic"),"",Kalkulation!F139*60*60)</f>
        <v>0</v>
      </c>
      <c r="K132">
        <f t="shared" si="10"/>
        <v>0</v>
      </c>
      <c r="L132" t="str">
        <f>CONCATENATE(Kalkulation!$C$3,": ",Kalkulation!$C$2,)</f>
        <v>write your component number(only integer): Projekt</v>
      </c>
      <c r="M132" t="str">
        <f>IF(A132="Epic",IF(Kalkulation!F139=0,"x",""),IF(OR(J132=0,A132="",B132=0),"x",""))</f>
        <v>x</v>
      </c>
    </row>
    <row r="133" spans="1:13" ht="26.4">
      <c r="A133" t="str">
        <f>IF(OR(Kalkulation!C140="Service",Kalkulation!C140="Individual costs and external services"),"",IF(Kalkulation!B140=0,"Epic","Project-task"))</f>
        <v>Project-task</v>
      </c>
      <c r="B133" s="45" t="str">
        <f>IF(OR(Kalkulation!C140="Service",Kalkulation!C140="Individual costs and external services"),"",IF(Kalkulation!B140=0,Kalkulation!C140,""))</f>
        <v/>
      </c>
      <c r="C133" t="str">
        <f>IF(A133="","",IF(Kalkulation!B140=0,"ghx-label-1",""))</f>
        <v/>
      </c>
      <c r="D133" s="45" t="str">
        <f>IF(Kalkulation!B140=0,"",IF(A132="",IF(B131="",D131,B131),IF(B132="",D132,B132)))</f>
        <v>Product Realization - Prototypes (B1 Samples) - PrkzZm</v>
      </c>
      <c r="E133">
        <f t="shared" si="11"/>
        <v>6122</v>
      </c>
      <c r="G133" s="45">
        <f>IF(Kalkulation!B140=0,IF(A133="Epic",B133," "),Kalkulation!C140)</f>
        <v>0</v>
      </c>
      <c r="H133" t="str">
        <f t="shared" si="8"/>
        <v xml:space="preserve"> </v>
      </c>
      <c r="I133" t="str">
        <f t="shared" si="9"/>
        <v>Normal</v>
      </c>
      <c r="J133">
        <f>IF(OR(A133="",A133="Epic"),"",Kalkulation!F140*60*60)</f>
        <v>0</v>
      </c>
      <c r="K133">
        <f t="shared" si="10"/>
        <v>0</v>
      </c>
      <c r="L133" t="str">
        <f>CONCATENATE(Kalkulation!$C$3,": ",Kalkulation!$C$2,)</f>
        <v>write your component number(only integer): Projekt</v>
      </c>
      <c r="M133" t="str">
        <f>IF(A133="Epic",IF(Kalkulation!F140=0,"x",""),IF(OR(J133=0,A133="",B133=0),"x",""))</f>
        <v>x</v>
      </c>
    </row>
    <row r="134" spans="1:13" ht="26.4">
      <c r="A134" t="str">
        <f>IF(OR(Kalkulation!C141="Service",Kalkulation!C141="Individual costs and external services"),"",IF(Kalkulation!B141=0,"Epic","Project-task"))</f>
        <v>Project-task</v>
      </c>
      <c r="B134" s="45" t="str">
        <f>IF(OR(Kalkulation!C141="Service",Kalkulation!C141="Individual costs and external services"),"",IF(Kalkulation!B141=0,Kalkulation!C141,""))</f>
        <v/>
      </c>
      <c r="C134" t="str">
        <f>IF(A134="","",IF(Kalkulation!B141=0,"ghx-label-1",""))</f>
        <v/>
      </c>
      <c r="D134" s="45" t="str">
        <f>IF(Kalkulation!B141=0,"",IF(A133="",IF(B132="",D132,B132),IF(B133="",D133,B133)))</f>
        <v>Product Realization - Prototypes (B1 Samples) - PrkzZm</v>
      </c>
      <c r="E134">
        <f t="shared" si="11"/>
        <v>6123</v>
      </c>
      <c r="G134" s="45">
        <f>IF(Kalkulation!B141=0,IF(A134="Epic",B134," "),Kalkulation!C141)</f>
        <v>0</v>
      </c>
      <c r="H134" t="str">
        <f t="shared" si="8"/>
        <v xml:space="preserve"> </v>
      </c>
      <c r="I134" t="str">
        <f t="shared" si="9"/>
        <v>Normal</v>
      </c>
      <c r="J134">
        <f>IF(OR(A134="",A134="Epic"),"",Kalkulation!F141*60*60)</f>
        <v>0</v>
      </c>
      <c r="K134">
        <f t="shared" si="10"/>
        <v>0</v>
      </c>
      <c r="L134" t="str">
        <f>CONCATENATE(Kalkulation!$C$3,": ",Kalkulation!$C$2,)</f>
        <v>write your component number(only integer): Projekt</v>
      </c>
      <c r="M134" t="str">
        <f>IF(A134="Epic",IF(Kalkulation!F141=0,"x",""),IF(OR(J134=0,A134="",B134=0),"x",""))</f>
        <v>x</v>
      </c>
    </row>
    <row r="135" spans="1:13">
      <c r="A135" t="str">
        <f>IF(OR(Kalkulation!C142="Service",Kalkulation!C142="Individual costs and external services"),"",IF(Kalkulation!B142=0,"Epic","Project-task"))</f>
        <v/>
      </c>
      <c r="B135" s="45" t="str">
        <f>IF(OR(Kalkulation!C142="Service",Kalkulation!C142="Individual costs and external services"),"",IF(Kalkulation!B142=0,Kalkulation!C142,""))</f>
        <v/>
      </c>
      <c r="C135" t="str">
        <f>IF(A135="","",IF(Kalkulation!B142=0,"ghx-label-1",""))</f>
        <v/>
      </c>
      <c r="D135" s="45" t="str">
        <f>IF(Kalkulation!B142=0,"",IF(A134="",IF(B133="",D133,B133),IF(B134="",D134,B134)))</f>
        <v/>
      </c>
      <c r="E135" t="str">
        <f t="shared" si="11"/>
        <v/>
      </c>
      <c r="G135" s="45" t="str">
        <f>IF(Kalkulation!B142=0,IF(A135="Epic",B135," "),Kalkulation!C142)</f>
        <v xml:space="preserve"> </v>
      </c>
      <c r="H135" t="str">
        <f t="shared" si="8"/>
        <v xml:space="preserve"> </v>
      </c>
      <c r="I135" t="str">
        <f t="shared" si="9"/>
        <v/>
      </c>
      <c r="J135" t="str">
        <f>IF(OR(A135="",A135="Epic"),"",Kalkulation!F142*60*60)</f>
        <v/>
      </c>
      <c r="K135" t="str">
        <f t="shared" si="10"/>
        <v/>
      </c>
      <c r="L135" t="str">
        <f>CONCATENATE(Kalkulation!$C$3,": ",Kalkulation!$C$2,)</f>
        <v>write your component number(only integer): Projekt</v>
      </c>
      <c r="M135" t="str">
        <f>IF(A135="Epic",IF(Kalkulation!F142=0,"x",""),IF(OR(J135=0,A135="",B135=0),"x",""))</f>
        <v>x</v>
      </c>
    </row>
    <row r="136" spans="1:13" ht="26.4">
      <c r="A136" t="str">
        <f>IF(OR(Kalkulation!C143="Service",Kalkulation!C143="Individual costs and external services"),"",IF(Kalkulation!B143=0,"Epic","Project-task"))</f>
        <v>Project-task</v>
      </c>
      <c r="B136" s="45" t="str">
        <f>IF(OR(Kalkulation!C143="Service",Kalkulation!C143="Individual costs and external services"),"",IF(Kalkulation!B143=0,Kalkulation!C143,""))</f>
        <v/>
      </c>
      <c r="C136" t="str">
        <f>IF(A136="","",IF(Kalkulation!B143=0,"ghx-label-1",""))</f>
        <v/>
      </c>
      <c r="D136" s="45" t="str">
        <f>IF(Kalkulation!B143=0,"",IF(A135="",IF(B134="",D134,B134),IF(B135="",D135,B135)))</f>
        <v>Product Realization - Prototypes (B1 Samples) - PrkzZm</v>
      </c>
      <c r="E136">
        <f t="shared" si="11"/>
        <v>6124</v>
      </c>
      <c r="G136" s="45" t="str">
        <f>IF(Kalkulation!B143=0,IF(A136="Epic",B136," "),Kalkulation!C143)</f>
        <v>Material Prototypes (B1 samples)</v>
      </c>
      <c r="H136" t="str">
        <f t="shared" si="8"/>
        <v xml:space="preserve"> </v>
      </c>
      <c r="I136" t="str">
        <f t="shared" si="9"/>
        <v>Normal</v>
      </c>
      <c r="J136">
        <f>IF(OR(A136="",A136="Epic"),"",Kalkulation!F143*60*60)</f>
        <v>0</v>
      </c>
      <c r="K136">
        <f t="shared" si="10"/>
        <v>0</v>
      </c>
      <c r="L136" t="str">
        <f>CONCATENATE(Kalkulation!$C$3,": ",Kalkulation!$C$2,)</f>
        <v>write your component number(only integer): Projekt</v>
      </c>
      <c r="M136" t="str">
        <f>IF(A136="Epic",IF(Kalkulation!F143=0,"x",""),IF(OR(J136=0,A136="",B136=0),"x",""))</f>
        <v>x</v>
      </c>
    </row>
    <row r="137" spans="1:13" ht="26.4">
      <c r="A137" t="str">
        <f>IF(OR(Kalkulation!C144="Service",Kalkulation!C144="Individual costs and external services"),"",IF(Kalkulation!B144=0,"Epic","Project-task"))</f>
        <v>Project-task</v>
      </c>
      <c r="B137" s="45" t="str">
        <f>IF(OR(Kalkulation!C144="Service",Kalkulation!C144="Individual costs and external services"),"",IF(Kalkulation!B144=0,Kalkulation!C144,""))</f>
        <v/>
      </c>
      <c r="C137" t="str">
        <f>IF(A137="","",IF(Kalkulation!B144=0,"ghx-label-1",""))</f>
        <v/>
      </c>
      <c r="D137" s="45" t="str">
        <f>IF(Kalkulation!B144=0,"",IF(A136="",IF(B135="",D135,B135),IF(B136="",D136,B136)))</f>
        <v>Product Realization - Prototypes (B1 Samples) - PrkzZm</v>
      </c>
      <c r="E137">
        <f t="shared" si="11"/>
        <v>6125</v>
      </c>
      <c r="G137" s="45" t="str">
        <f>IF(Kalkulation!B144=0,IF(A137="Epic",B137," "),Kalkulation!C144)</f>
        <v>EMC Review (external)</v>
      </c>
      <c r="H137" t="str">
        <f t="shared" si="8"/>
        <v xml:space="preserve"> </v>
      </c>
      <c r="I137" t="str">
        <f t="shared" si="9"/>
        <v>Normal</v>
      </c>
      <c r="J137">
        <f>IF(OR(A137="",A137="Epic"),"",Kalkulation!F144*60*60)</f>
        <v>0</v>
      </c>
      <c r="K137">
        <f t="shared" si="10"/>
        <v>0</v>
      </c>
      <c r="L137" t="str">
        <f>CONCATENATE(Kalkulation!$C$3,": ",Kalkulation!$C$2,)</f>
        <v>write your component number(only integer): Projekt</v>
      </c>
      <c r="M137" t="str">
        <f>IF(A137="Epic",IF(Kalkulation!F144=0,"x",""),IF(OR(J137=0,A137="",B137=0),"x",""))</f>
        <v>x</v>
      </c>
    </row>
    <row r="138" spans="1:13" ht="26.4">
      <c r="A138" t="str">
        <f>IF(OR(Kalkulation!C145="Service",Kalkulation!C145="Individual costs and external services"),"",IF(Kalkulation!B145=0,"Epic","Project-task"))</f>
        <v>Project-task</v>
      </c>
      <c r="B138" s="45" t="str">
        <f>IF(OR(Kalkulation!C145="Service",Kalkulation!C145="Individual costs and external services"),"",IF(Kalkulation!B145=0,Kalkulation!C145,""))</f>
        <v/>
      </c>
      <c r="C138" t="str">
        <f>IF(A138="","",IF(Kalkulation!B145=0,"ghx-label-1",""))</f>
        <v/>
      </c>
      <c r="D138" s="45" t="str">
        <f>IF(Kalkulation!B145=0,"",IF(A137="",IF(B136="",D136,B136),IF(B137="",D137,B137)))</f>
        <v>Product Realization - Prototypes (B1 Samples) - PrkzZm</v>
      </c>
      <c r="E138">
        <f t="shared" si="11"/>
        <v>6126</v>
      </c>
      <c r="G138" s="45" t="str">
        <f>IF(Kalkulation!B145=0,IF(A138="Epic",B138," "),Kalkulation!C145)</f>
        <v>EMC Testing</v>
      </c>
      <c r="H138" t="str">
        <f t="shared" si="8"/>
        <v xml:space="preserve"> </v>
      </c>
      <c r="I138" t="str">
        <f t="shared" si="9"/>
        <v>Normal</v>
      </c>
      <c r="J138">
        <f>IF(OR(A138="",A138="Epic"),"",Kalkulation!F145*60*60)</f>
        <v>0</v>
      </c>
      <c r="K138">
        <f t="shared" si="10"/>
        <v>0</v>
      </c>
      <c r="L138" t="str">
        <f>CONCATENATE(Kalkulation!$C$3,": ",Kalkulation!$C$2,)</f>
        <v>write your component number(only integer): Projekt</v>
      </c>
      <c r="M138" t="str">
        <f>IF(A138="Epic",IF(Kalkulation!F145=0,"x",""),IF(OR(J138=0,A138="",B138=0),"x",""))</f>
        <v>x</v>
      </c>
    </row>
    <row r="139" spans="1:13" ht="26.4">
      <c r="A139" t="str">
        <f>IF(OR(Kalkulation!C146="Service",Kalkulation!C146="Individual costs and external services"),"",IF(Kalkulation!B146=0,"Epic","Project-task"))</f>
        <v>Project-task</v>
      </c>
      <c r="B139" s="45" t="str">
        <f>IF(OR(Kalkulation!C146="Service",Kalkulation!C146="Individual costs and external services"),"",IF(Kalkulation!B146=0,Kalkulation!C146,""))</f>
        <v/>
      </c>
      <c r="C139" t="str">
        <f>IF(A139="","",IF(Kalkulation!B146=0,"ghx-label-1",""))</f>
        <v/>
      </c>
      <c r="D139" s="45" t="str">
        <f>IF(Kalkulation!B146=0,"",IF(A138="",IF(B137="",D137,B137),IF(B138="",D138,B138)))</f>
        <v>Product Realization - Prototypes (B1 Samples) - PrkzZm</v>
      </c>
      <c r="E139">
        <f t="shared" si="11"/>
        <v>6127</v>
      </c>
      <c r="G139" s="45" t="str">
        <f>IF(Kalkulation!B146=0,IF(A139="Epic",B139," "),Kalkulation!C146)</f>
        <v>Security Testing</v>
      </c>
      <c r="H139" t="str">
        <f t="shared" si="8"/>
        <v xml:space="preserve"> </v>
      </c>
      <c r="I139" t="str">
        <f t="shared" si="9"/>
        <v>Normal</v>
      </c>
      <c r="J139">
        <f>IF(OR(A139="",A139="Epic"),"",Kalkulation!F146*60*60)</f>
        <v>0</v>
      </c>
      <c r="K139">
        <f t="shared" si="10"/>
        <v>0</v>
      </c>
      <c r="L139" t="str">
        <f>CONCATENATE(Kalkulation!$C$3,": ",Kalkulation!$C$2,)</f>
        <v>write your component number(only integer): Projekt</v>
      </c>
      <c r="M139" t="str">
        <f>IF(A139="Epic",IF(Kalkulation!F146=0,"x",""),IF(OR(J139=0,A139="",B139=0),"x",""))</f>
        <v>x</v>
      </c>
    </row>
    <row r="140" spans="1:13" ht="26.4">
      <c r="A140" t="str">
        <f>IF(OR(Kalkulation!C147="Service",Kalkulation!C147="Individual costs and external services"),"",IF(Kalkulation!B147=0,"Epic","Project-task"))</f>
        <v>Project-task</v>
      </c>
      <c r="B140" s="45" t="str">
        <f>IF(OR(Kalkulation!C147="Service",Kalkulation!C147="Individual costs and external services"),"",IF(Kalkulation!B147=0,Kalkulation!C147,""))</f>
        <v/>
      </c>
      <c r="C140" t="str">
        <f>IF(A140="","",IF(Kalkulation!B147=0,"ghx-label-1",""))</f>
        <v/>
      </c>
      <c r="D140" s="45" t="str">
        <f>IF(Kalkulation!B147=0,"",IF(A139="",IF(B138="",D138,B138),IF(B139="",D139,B139)))</f>
        <v>Product Realization - Prototypes (B1 Samples) - PrkzZm</v>
      </c>
      <c r="E140">
        <f t="shared" si="11"/>
        <v>6128</v>
      </c>
      <c r="G140" s="45">
        <f>IF(Kalkulation!B147=0,IF(A140="Epic",B140," "),Kalkulation!C147)</f>
        <v>0</v>
      </c>
      <c r="H140" t="str">
        <f t="shared" si="8"/>
        <v xml:space="preserve"> </v>
      </c>
      <c r="I140" t="str">
        <f t="shared" si="9"/>
        <v>Normal</v>
      </c>
      <c r="J140">
        <f>IF(OR(A140="",A140="Epic"),"",Kalkulation!F147*60*60)</f>
        <v>0</v>
      </c>
      <c r="K140">
        <f t="shared" si="10"/>
        <v>0</v>
      </c>
      <c r="L140" t="str">
        <f>CONCATENATE(Kalkulation!$C$3,": ",Kalkulation!$C$2,)</f>
        <v>write your component number(only integer): Projekt</v>
      </c>
      <c r="M140" t="str">
        <f>IF(A140="Epic",IF(Kalkulation!F147=0,"x",""),IF(OR(J140=0,A140="",B140=0),"x",""))</f>
        <v>x</v>
      </c>
    </row>
    <row r="141" spans="1:13" ht="26.4">
      <c r="A141" t="str">
        <f>IF(OR(Kalkulation!C148="Service",Kalkulation!C148="Individual costs and external services"),"",IF(Kalkulation!B148=0,"Epic","Project-task"))</f>
        <v>Project-task</v>
      </c>
      <c r="B141" s="45" t="str">
        <f>IF(OR(Kalkulation!C148="Service",Kalkulation!C148="Individual costs and external services"),"",IF(Kalkulation!B148=0,Kalkulation!C148,""))</f>
        <v/>
      </c>
      <c r="C141" t="str">
        <f>IF(A141="","",IF(Kalkulation!B148=0,"ghx-label-1",""))</f>
        <v/>
      </c>
      <c r="D141" s="45" t="str">
        <f>IF(Kalkulation!B148=0,"",IF(A140="",IF(B139="",D139,B139),IF(B140="",D140,B140)))</f>
        <v>Product Realization - Prototypes (B1 Samples) - PrkzZm</v>
      </c>
      <c r="E141">
        <f t="shared" si="11"/>
        <v>6129</v>
      </c>
      <c r="G141" s="45">
        <f>IF(Kalkulation!B148=0,IF(A141="Epic",B141," "),Kalkulation!C148)</f>
        <v>0</v>
      </c>
      <c r="H141" t="str">
        <f t="shared" si="8"/>
        <v xml:space="preserve"> </v>
      </c>
      <c r="I141" t="str">
        <f t="shared" si="9"/>
        <v>Normal</v>
      </c>
      <c r="J141">
        <f>IF(OR(A141="",A141="Epic"),"",Kalkulation!F148*60*60)</f>
        <v>0</v>
      </c>
      <c r="K141">
        <f t="shared" si="10"/>
        <v>0</v>
      </c>
      <c r="L141" t="str">
        <f>CONCATENATE(Kalkulation!$C$3,": ",Kalkulation!$C$2,)</f>
        <v>write your component number(only integer): Projekt</v>
      </c>
      <c r="M141" t="str">
        <f>IF(A141="Epic",IF(Kalkulation!F148=0,"x",""),IF(OR(J141=0,A141="",B141=0),"x",""))</f>
        <v>x</v>
      </c>
    </row>
    <row r="142" spans="1:13" ht="26.4">
      <c r="A142" t="str">
        <f>IF(OR(Kalkulation!C149="Service",Kalkulation!C149="Individual costs and external services"),"",IF(Kalkulation!B149=0,"Epic","Project-task"))</f>
        <v>Epic</v>
      </c>
      <c r="B142" s="45" t="str">
        <f>IF(OR(Kalkulation!C149="Service",Kalkulation!C149="Individual costs and external services"),"",IF(Kalkulation!B149=0,Kalkulation!C149,""))</f>
        <v>Process Development - Equipment and Testing Equipment - PrkzZm</v>
      </c>
      <c r="C142" t="str">
        <f>IF(A142="","",IF(Kalkulation!B149=0,"ghx-label-1",""))</f>
        <v>ghx-label-1</v>
      </c>
      <c r="D142" s="45" t="str">
        <f>IF(Kalkulation!B149=0,"",IF(A141="",IF(B140="",D140,B140),IF(B141="",D141,B141)))</f>
        <v/>
      </c>
      <c r="E142">
        <f t="shared" si="11"/>
        <v>6130</v>
      </c>
      <c r="G142" s="45" t="str">
        <f>IF(Kalkulation!B149=0,IF(A142="Epic",B142," "),Kalkulation!C149)</f>
        <v>Process Development - Equipment and Testing Equipment - PrkzZm</v>
      </c>
      <c r="H142" t="str">
        <f t="shared" si="8"/>
        <v>Process Development - Equipment and Testing Equipment - PrkzZm</v>
      </c>
      <c r="I142" t="str">
        <f t="shared" si="9"/>
        <v>Normal</v>
      </c>
      <c r="J142" t="str">
        <f>IF(OR(A142="",A142="Epic"),"",Kalkulation!F149*60*60)</f>
        <v/>
      </c>
      <c r="K142" t="str">
        <f t="shared" si="10"/>
        <v/>
      </c>
      <c r="L142" t="str">
        <f>CONCATENATE(Kalkulation!$C$3,": ",Kalkulation!$C$2,)</f>
        <v>write your component number(only integer): Projekt</v>
      </c>
      <c r="M142" t="str">
        <f>IF(A142="Epic",IF(Kalkulation!F149=0,"x",""),IF(OR(J142=0,A142="",B142=0),"x",""))</f>
        <v>x</v>
      </c>
    </row>
    <row r="143" spans="1:13">
      <c r="A143" t="str">
        <f>IF(OR(Kalkulation!C150="Service",Kalkulation!C150="Individual costs and external services"),"",IF(Kalkulation!B150=0,"Epic","Project-task"))</f>
        <v/>
      </c>
      <c r="B143" s="45" t="str">
        <f>IF(OR(Kalkulation!C150="Service",Kalkulation!C150="Individual costs and external services"),"",IF(Kalkulation!B150=0,Kalkulation!C150,""))</f>
        <v/>
      </c>
      <c r="C143" t="str">
        <f>IF(A143="","",IF(Kalkulation!B150=0,"ghx-label-1",""))</f>
        <v/>
      </c>
      <c r="D143" s="45" t="str">
        <f>IF(Kalkulation!B150=0,"",IF(A142="",IF(B141="",D141,B141),IF(B142="",D142,B142)))</f>
        <v/>
      </c>
      <c r="E143" t="str">
        <f t="shared" si="11"/>
        <v/>
      </c>
      <c r="G143" s="45" t="str">
        <f>IF(Kalkulation!B150=0,IF(A143="Epic",B143," "),Kalkulation!C150)</f>
        <v xml:space="preserve"> </v>
      </c>
      <c r="H143" t="str">
        <f t="shared" si="8"/>
        <v xml:space="preserve"> </v>
      </c>
      <c r="I143" t="str">
        <f t="shared" si="9"/>
        <v/>
      </c>
      <c r="J143" t="str">
        <f>IF(OR(A143="",A143="Epic"),"",Kalkulation!F150*60*60)</f>
        <v/>
      </c>
      <c r="K143" t="str">
        <f t="shared" si="10"/>
        <v/>
      </c>
      <c r="L143" t="str">
        <f>CONCATENATE(Kalkulation!$C$3,": ",Kalkulation!$C$2,)</f>
        <v>write your component number(only integer): Projekt</v>
      </c>
      <c r="M143" t="str">
        <f>IF(A143="Epic",IF(Kalkulation!F150=0,"x",""),IF(OR(J143=0,A143="",B143=0),"x",""))</f>
        <v>x</v>
      </c>
    </row>
    <row r="144" spans="1:13" ht="26.4">
      <c r="A144" t="str">
        <f>IF(OR(Kalkulation!C151="Service",Kalkulation!C151="Individual costs and external services"),"",IF(Kalkulation!B151=0,"Epic","Project-task"))</f>
        <v>Project-task</v>
      </c>
      <c r="B144" s="45" t="str">
        <f>IF(OR(Kalkulation!C151="Service",Kalkulation!C151="Individual costs and external services"),"",IF(Kalkulation!B151=0,Kalkulation!C151,""))</f>
        <v/>
      </c>
      <c r="C144" t="str">
        <f>IF(A144="","",IF(Kalkulation!B151=0,"ghx-label-1",""))</f>
        <v/>
      </c>
      <c r="D144" s="45" t="str">
        <f>IF(Kalkulation!B151=0,"",IF(A143="",IF(B142="",D142,B142),IF(B143="",D143,B143)))</f>
        <v>Process Development - Equipment and Testing Equipment - PrkzZm</v>
      </c>
      <c r="E144">
        <f t="shared" si="11"/>
        <v>6131</v>
      </c>
      <c r="G144" s="45" t="str">
        <f>IF(Kalkulation!B151=0,IF(A144="Epic",B144," "),Kalkulation!C151)</f>
        <v>Definition of test criteria and tolerances (electronics, electrics, mechanics, etc.)</v>
      </c>
      <c r="H144" t="str">
        <f t="shared" si="8"/>
        <v xml:space="preserve"> </v>
      </c>
      <c r="I144" t="str">
        <f t="shared" si="9"/>
        <v>Normal</v>
      </c>
      <c r="J144">
        <f>IF(OR(A144="",A144="Epic"),"",Kalkulation!F151*60*60)</f>
        <v>0</v>
      </c>
      <c r="K144">
        <f t="shared" si="10"/>
        <v>0</v>
      </c>
      <c r="L144" t="str">
        <f>CONCATENATE(Kalkulation!$C$3,": ",Kalkulation!$C$2,)</f>
        <v>write your component number(only integer): Projekt</v>
      </c>
      <c r="M144" t="str">
        <f>IF(A144="Epic",IF(Kalkulation!F151=0,"x",""),IF(OR(J144=0,A144="",B144=0),"x",""))</f>
        <v>x</v>
      </c>
    </row>
    <row r="145" spans="1:13" ht="26.4">
      <c r="A145" t="str">
        <f>IF(OR(Kalkulation!C152="Service",Kalkulation!C152="Individual costs and external services"),"",IF(Kalkulation!B152=0,"Epic","Project-task"))</f>
        <v>Project-task</v>
      </c>
      <c r="B145" s="45" t="str">
        <f>IF(OR(Kalkulation!C152="Service",Kalkulation!C152="Individual costs and external services"),"",IF(Kalkulation!B152=0,Kalkulation!C152,""))</f>
        <v/>
      </c>
      <c r="C145" t="str">
        <f>IF(A145="","",IF(Kalkulation!B152=0,"ghx-label-1",""))</f>
        <v/>
      </c>
      <c r="D145" s="45" t="str">
        <f>IF(Kalkulation!B152=0,"",IF(A144="",IF(B143="",D143,B143),IF(B144="",D144,B144)))</f>
        <v>Process Development - Equipment and Testing Equipment - PrkzZm</v>
      </c>
      <c r="E145">
        <f t="shared" si="11"/>
        <v>6132</v>
      </c>
      <c r="G145" s="45" t="str">
        <f>IF(Kalkulation!B152=0,IF(A145="Epic",B145," "),Kalkulation!C152)</f>
        <v>Planning of test procedures</v>
      </c>
      <c r="H145" t="str">
        <f t="shared" si="8"/>
        <v xml:space="preserve"> </v>
      </c>
      <c r="I145" t="str">
        <f t="shared" si="9"/>
        <v>Normal</v>
      </c>
      <c r="J145">
        <f>IF(OR(A145="",A145="Epic"),"",Kalkulation!F152*60*60)</f>
        <v>0</v>
      </c>
      <c r="K145">
        <f t="shared" si="10"/>
        <v>0</v>
      </c>
      <c r="L145" t="str">
        <f>CONCATENATE(Kalkulation!$C$3,": ",Kalkulation!$C$2,)</f>
        <v>write your component number(only integer): Projekt</v>
      </c>
      <c r="M145" t="str">
        <f>IF(A145="Epic",IF(Kalkulation!F152=0,"x",""),IF(OR(J145=0,A145="",B145=0),"x",""))</f>
        <v>x</v>
      </c>
    </row>
    <row r="146" spans="1:13" ht="26.4">
      <c r="A146" t="str">
        <f>IF(OR(Kalkulation!C153="Service",Kalkulation!C153="Individual costs and external services"),"",IF(Kalkulation!B153=0,"Epic","Project-task"))</f>
        <v>Project-task</v>
      </c>
      <c r="B146" s="45" t="str">
        <f>IF(OR(Kalkulation!C153="Service",Kalkulation!C153="Individual costs and external services"),"",IF(Kalkulation!B153=0,Kalkulation!C153,""))</f>
        <v/>
      </c>
      <c r="C146" t="str">
        <f>IF(A146="","",IF(Kalkulation!B153=0,"ghx-label-1",""))</f>
        <v/>
      </c>
      <c r="D146" s="45" t="str">
        <f>IF(Kalkulation!B153=0,"",IF(A145="",IF(B144="",D144,B144),IF(B145="",D145,B145)))</f>
        <v>Process Development - Equipment and Testing Equipment - PrkzZm</v>
      </c>
      <c r="E146">
        <f t="shared" si="11"/>
        <v>6133</v>
      </c>
      <c r="G146" s="45" t="str">
        <f>IF(Kalkulation!B153=0,IF(A146="Epic",B146," "),Kalkulation!C153)</f>
        <v>Development of a concept for test adapters and testing software</v>
      </c>
      <c r="H146" t="str">
        <f t="shared" si="8"/>
        <v xml:space="preserve"> </v>
      </c>
      <c r="I146" t="str">
        <f t="shared" si="9"/>
        <v>Normal</v>
      </c>
      <c r="J146">
        <f>IF(OR(A146="",A146="Epic"),"",Kalkulation!F153*60*60)</f>
        <v>0</v>
      </c>
      <c r="K146">
        <f t="shared" si="10"/>
        <v>0</v>
      </c>
      <c r="L146" t="str">
        <f>CONCATENATE(Kalkulation!$C$3,": ",Kalkulation!$C$2,)</f>
        <v>write your component number(only integer): Projekt</v>
      </c>
      <c r="M146" t="str">
        <f>IF(A146="Epic",IF(Kalkulation!F153=0,"x",""),IF(OR(J146=0,A146="",B146=0),"x",""))</f>
        <v>x</v>
      </c>
    </row>
    <row r="147" spans="1:13" ht="26.4">
      <c r="A147" t="str">
        <f>IF(OR(Kalkulation!C154="Service",Kalkulation!C154="Individual costs and external services"),"",IF(Kalkulation!B154=0,"Epic","Project-task"))</f>
        <v>Project-task</v>
      </c>
      <c r="B147" s="45" t="str">
        <f>IF(OR(Kalkulation!C154="Service",Kalkulation!C154="Individual costs and external services"),"",IF(Kalkulation!B154=0,Kalkulation!C154,""))</f>
        <v/>
      </c>
      <c r="C147" t="str">
        <f>IF(A147="","",IF(Kalkulation!B154=0,"ghx-label-1",""))</f>
        <v/>
      </c>
      <c r="D147" s="45" t="str">
        <f>IF(Kalkulation!B154=0,"",IF(A146="",IF(B145="",D145,B145),IF(B146="",D146,B146)))</f>
        <v>Process Development - Equipment and Testing Equipment - PrkzZm</v>
      </c>
      <c r="E147">
        <f t="shared" si="11"/>
        <v>6134</v>
      </c>
      <c r="G147" s="45" t="str">
        <f>IF(Kalkulation!B154=0,IF(A147="Epic",B147," "),Kalkulation!C154)</f>
        <v>Test adapter construction</v>
      </c>
      <c r="H147" t="str">
        <f t="shared" si="8"/>
        <v xml:space="preserve"> </v>
      </c>
      <c r="I147" t="str">
        <f t="shared" si="9"/>
        <v>Normal</v>
      </c>
      <c r="J147">
        <f>IF(OR(A147="",A147="Epic"),"",Kalkulation!F154*60*60)</f>
        <v>0</v>
      </c>
      <c r="K147">
        <f t="shared" si="10"/>
        <v>0</v>
      </c>
      <c r="L147" t="str">
        <f>CONCATENATE(Kalkulation!$C$3,": ",Kalkulation!$C$2,)</f>
        <v>write your component number(only integer): Projekt</v>
      </c>
      <c r="M147" t="str">
        <f>IF(A147="Epic",IF(Kalkulation!F154=0,"x",""),IF(OR(J147=0,A147="",B147=0),"x",""))</f>
        <v>x</v>
      </c>
    </row>
    <row r="148" spans="1:13" ht="26.4">
      <c r="A148" t="str">
        <f>IF(OR(Kalkulation!C155="Service",Kalkulation!C155="Individual costs and external services"),"",IF(Kalkulation!B155=0,"Epic","Project-task"))</f>
        <v>Project-task</v>
      </c>
      <c r="B148" s="45" t="str">
        <f>IF(OR(Kalkulation!C155="Service",Kalkulation!C155="Individual costs and external services"),"",IF(Kalkulation!B155=0,Kalkulation!C155,""))</f>
        <v/>
      </c>
      <c r="C148" t="str">
        <f>IF(A148="","",IF(Kalkulation!B155=0,"ghx-label-1",""))</f>
        <v/>
      </c>
      <c r="D148" s="45" t="str">
        <f>IF(Kalkulation!B155=0,"",IF(A147="",IF(B146="",D146,B146),IF(B147="",D147,B147)))</f>
        <v>Process Development - Equipment and Testing Equipment - PrkzZm</v>
      </c>
      <c r="E148">
        <f t="shared" si="11"/>
        <v>6135</v>
      </c>
      <c r="G148" s="45" t="str">
        <f>IF(Kalkulation!B155=0,IF(A148="Epic",B148," "),Kalkulation!C155)</f>
        <v>Documentation Test Adapter</v>
      </c>
      <c r="H148" t="str">
        <f t="shared" si="8"/>
        <v xml:space="preserve"> </v>
      </c>
      <c r="I148" t="str">
        <f t="shared" si="9"/>
        <v>Normal</v>
      </c>
      <c r="J148">
        <f>IF(OR(A148="",A148="Epic"),"",Kalkulation!F155*60*60)</f>
        <v>0</v>
      </c>
      <c r="K148">
        <f t="shared" si="10"/>
        <v>0</v>
      </c>
      <c r="L148" t="str">
        <f>CONCATENATE(Kalkulation!$C$3,": ",Kalkulation!$C$2,)</f>
        <v>write your component number(only integer): Projekt</v>
      </c>
      <c r="M148" t="str">
        <f>IF(A148="Epic",IF(Kalkulation!F155=0,"x",""),IF(OR(J148=0,A148="",B148=0),"x",""))</f>
        <v>x</v>
      </c>
    </row>
    <row r="149" spans="1:13" ht="26.4">
      <c r="A149" t="str">
        <f>IF(OR(Kalkulation!C156="Service",Kalkulation!C156="Individual costs and external services"),"",IF(Kalkulation!B156=0,"Epic","Project-task"))</f>
        <v>Project-task</v>
      </c>
      <c r="B149" s="45" t="str">
        <f>IF(OR(Kalkulation!C156="Service",Kalkulation!C156="Individual costs and external services"),"",IF(Kalkulation!B156=0,Kalkulation!C156,""))</f>
        <v/>
      </c>
      <c r="C149" t="str">
        <f>IF(A149="","",IF(Kalkulation!B156=0,"ghx-label-1",""))</f>
        <v/>
      </c>
      <c r="D149" s="45" t="str">
        <f>IF(Kalkulation!B156=0,"",IF(A148="",IF(B147="",D147,B147),IF(B148="",D148,B148)))</f>
        <v>Process Development - Equipment and Testing Equipment - PrkzZm</v>
      </c>
      <c r="E149">
        <f t="shared" si="11"/>
        <v>6136</v>
      </c>
      <c r="G149" s="45" t="str">
        <f>IF(Kalkulation!B156=0,IF(A149="Epic",B149," "),Kalkulation!C156)</f>
        <v>Creation and testing software</v>
      </c>
      <c r="H149" t="str">
        <f t="shared" si="8"/>
        <v xml:space="preserve"> </v>
      </c>
      <c r="I149" t="str">
        <f t="shared" si="9"/>
        <v>Normal</v>
      </c>
      <c r="J149">
        <f>IF(OR(A149="",A149="Epic"),"",Kalkulation!F156*60*60)</f>
        <v>0</v>
      </c>
      <c r="K149">
        <f t="shared" si="10"/>
        <v>0</v>
      </c>
      <c r="L149" t="str">
        <f>CONCATENATE(Kalkulation!$C$3,": ",Kalkulation!$C$2,)</f>
        <v>write your component number(only integer): Projekt</v>
      </c>
      <c r="M149" t="str">
        <f>IF(A149="Epic",IF(Kalkulation!F156=0,"x",""),IF(OR(J149=0,A149="",B149=0),"x",""))</f>
        <v>x</v>
      </c>
    </row>
    <row r="150" spans="1:13" ht="26.4">
      <c r="A150" t="str">
        <f>IF(OR(Kalkulation!C157="Service",Kalkulation!C157="Individual costs and external services"),"",IF(Kalkulation!B157=0,"Epic","Project-task"))</f>
        <v>Project-task</v>
      </c>
      <c r="B150" s="45" t="str">
        <f>IF(OR(Kalkulation!C157="Service",Kalkulation!C157="Individual costs and external services"),"",IF(Kalkulation!B157=0,Kalkulation!C157,""))</f>
        <v/>
      </c>
      <c r="C150" t="str">
        <f>IF(A150="","",IF(Kalkulation!B157=0,"ghx-label-1",""))</f>
        <v/>
      </c>
      <c r="D150" s="45" t="str">
        <f>IF(Kalkulation!B157=0,"",IF(A149="",IF(B148="",D148,B148),IF(B149="",D149,B149)))</f>
        <v>Process Development - Equipment and Testing Equipment - PrkzZm</v>
      </c>
      <c r="E150">
        <f t="shared" si="11"/>
        <v>6137</v>
      </c>
      <c r="G150" s="45" t="str">
        <f>IF(Kalkulation!B157=0,IF(A150="Epic",B150," "),Kalkulation!C157)</f>
        <v>Dokumentaton Test Procedure</v>
      </c>
      <c r="H150" t="str">
        <f t="shared" si="8"/>
        <v xml:space="preserve"> </v>
      </c>
      <c r="I150" t="str">
        <f t="shared" si="9"/>
        <v>Normal</v>
      </c>
      <c r="J150">
        <f>IF(OR(A150="",A150="Epic"),"",Kalkulation!F157*60*60)</f>
        <v>0</v>
      </c>
      <c r="K150">
        <f t="shared" si="10"/>
        <v>0</v>
      </c>
      <c r="L150" t="str">
        <f>CONCATENATE(Kalkulation!$C$3,": ",Kalkulation!$C$2,)</f>
        <v>write your component number(only integer): Projekt</v>
      </c>
      <c r="M150" t="str">
        <f>IF(A150="Epic",IF(Kalkulation!F157=0,"x",""),IF(OR(J150=0,A150="",B150=0),"x",""))</f>
        <v>x</v>
      </c>
    </row>
    <row r="151" spans="1:13" ht="26.4">
      <c r="A151" t="str">
        <f>IF(OR(Kalkulation!C158="Service",Kalkulation!C158="Individual costs and external services"),"",IF(Kalkulation!B158=0,"Epic","Project-task"))</f>
        <v>Project-task</v>
      </c>
      <c r="B151" s="45" t="str">
        <f>IF(OR(Kalkulation!C158="Service",Kalkulation!C158="Individual costs and external services"),"",IF(Kalkulation!B158=0,Kalkulation!C158,""))</f>
        <v/>
      </c>
      <c r="C151" t="str">
        <f>IF(A151="","",IF(Kalkulation!B158=0,"ghx-label-1",""))</f>
        <v/>
      </c>
      <c r="D151" s="45" t="str">
        <f>IF(Kalkulation!B158=0,"",IF(A150="",IF(B149="",D149,B149),IF(B150="",D150,B150)))</f>
        <v>Process Development - Equipment and Testing Equipment - PrkzZm</v>
      </c>
      <c r="E151">
        <f t="shared" si="11"/>
        <v>6138</v>
      </c>
      <c r="G151" s="45" t="str">
        <f>IF(Kalkulation!B158=0,IF(A151="Epic",B151," "),Kalkulation!C158)</f>
        <v>Provision of test adapters</v>
      </c>
      <c r="H151" t="str">
        <f t="shared" si="8"/>
        <v xml:space="preserve"> </v>
      </c>
      <c r="I151" t="str">
        <f t="shared" si="9"/>
        <v>Normal</v>
      </c>
      <c r="J151">
        <f>IF(OR(A151="",A151="Epic"),"",Kalkulation!F158*60*60)</f>
        <v>0</v>
      </c>
      <c r="K151">
        <f t="shared" si="10"/>
        <v>0</v>
      </c>
      <c r="L151" t="str">
        <f>CONCATENATE(Kalkulation!$C$3,": ",Kalkulation!$C$2,)</f>
        <v>write your component number(only integer): Projekt</v>
      </c>
      <c r="M151" t="str">
        <f>IF(A151="Epic",IF(Kalkulation!F158=0,"x",""),IF(OR(J151=0,A151="",B151=0),"x",""))</f>
        <v>x</v>
      </c>
    </row>
    <row r="152" spans="1:13" ht="26.4">
      <c r="A152" t="str">
        <f>IF(OR(Kalkulation!C159="Service",Kalkulation!C159="Individual costs and external services"),"",IF(Kalkulation!B159=0,"Epic","Project-task"))</f>
        <v>Project-task</v>
      </c>
      <c r="B152" s="45" t="str">
        <f>IF(OR(Kalkulation!C159="Service",Kalkulation!C159="Individual costs and external services"),"",IF(Kalkulation!B159=0,Kalkulation!C159,""))</f>
        <v/>
      </c>
      <c r="C152" t="str">
        <f>IF(A152="","",IF(Kalkulation!B159=0,"ghx-label-1",""))</f>
        <v/>
      </c>
      <c r="D152" s="45" t="str">
        <f>IF(Kalkulation!B159=0,"",IF(A151="",IF(B150="",D150,B150),IF(B151="",D151,B151)))</f>
        <v>Process Development - Equipment and Testing Equipment - PrkzZm</v>
      </c>
      <c r="E152">
        <f t="shared" si="11"/>
        <v>6139</v>
      </c>
      <c r="G152" s="45" t="str">
        <f>IF(Kalkulation!B159=0,IF(A152="Epic",B152," "),Kalkulation!C159)</f>
        <v>Testing the pilot run</v>
      </c>
      <c r="H152" t="str">
        <f t="shared" si="8"/>
        <v xml:space="preserve"> </v>
      </c>
      <c r="I152" t="str">
        <f t="shared" si="9"/>
        <v>Normal</v>
      </c>
      <c r="J152">
        <f>IF(OR(A152="",A152="Epic"),"",Kalkulation!F159*60*60)</f>
        <v>0</v>
      </c>
      <c r="K152">
        <f t="shared" si="10"/>
        <v>0</v>
      </c>
      <c r="L152" t="str">
        <f>CONCATENATE(Kalkulation!$C$3,": ",Kalkulation!$C$2,)</f>
        <v>write your component number(only integer): Projekt</v>
      </c>
      <c r="M152" t="str">
        <f>IF(A152="Epic",IF(Kalkulation!F159=0,"x",""),IF(OR(J152=0,A152="",B152=0),"x",""))</f>
        <v>x</v>
      </c>
    </row>
    <row r="153" spans="1:13" ht="26.4">
      <c r="A153" t="str">
        <f>IF(OR(Kalkulation!C160="Service",Kalkulation!C160="Individual costs and external services"),"",IF(Kalkulation!B160=0,"Epic","Project-task"))</f>
        <v>Project-task</v>
      </c>
      <c r="B153" s="45" t="str">
        <f>IF(OR(Kalkulation!C160="Service",Kalkulation!C160="Individual costs and external services"),"",IF(Kalkulation!B160=0,Kalkulation!C160,""))</f>
        <v/>
      </c>
      <c r="C153" t="str">
        <f>IF(A153="","",IF(Kalkulation!B160=0,"ghx-label-1",""))</f>
        <v/>
      </c>
      <c r="D153" s="45" t="str">
        <f>IF(Kalkulation!B160=0,"",IF(A152="",IF(B151="",D151,B151),IF(B152="",D152,B152)))</f>
        <v>Process Development - Equipment and Testing Equipment - PrkzZm</v>
      </c>
      <c r="E153">
        <f t="shared" si="11"/>
        <v>6140</v>
      </c>
      <c r="G153" s="45" t="str">
        <f>IF(Kalkulation!B160=0,IF(A153="Epic",B153," "),Kalkulation!C160)</f>
        <v>Addition and optimisation of the test sequence</v>
      </c>
      <c r="H153" t="str">
        <f t="shared" si="8"/>
        <v xml:space="preserve"> </v>
      </c>
      <c r="I153" t="str">
        <f t="shared" si="9"/>
        <v>Normal</v>
      </c>
      <c r="J153">
        <f>IF(OR(A153="",A153="Epic"),"",Kalkulation!F160*60*60)</f>
        <v>0</v>
      </c>
      <c r="K153">
        <f t="shared" si="10"/>
        <v>0</v>
      </c>
      <c r="L153" t="str">
        <f>CONCATENATE(Kalkulation!$C$3,": ",Kalkulation!$C$2,)</f>
        <v>write your component number(only integer): Projekt</v>
      </c>
      <c r="M153" t="str">
        <f>IF(A153="Epic",IF(Kalkulation!F160=0,"x",""),IF(OR(J153=0,A153="",B153=0),"x",""))</f>
        <v>x</v>
      </c>
    </row>
    <row r="154" spans="1:13" ht="26.4">
      <c r="A154" t="str">
        <f>IF(OR(Kalkulation!C161="Service",Kalkulation!C161="Individual costs and external services"),"",IF(Kalkulation!B161=0,"Epic","Project-task"))</f>
        <v>Project-task</v>
      </c>
      <c r="B154" s="45" t="str">
        <f>IF(OR(Kalkulation!C161="Service",Kalkulation!C161="Individual costs and external services"),"",IF(Kalkulation!B161=0,Kalkulation!C161,""))</f>
        <v/>
      </c>
      <c r="C154" t="str">
        <f>IF(A154="","",IF(Kalkulation!B161=0,"ghx-label-1",""))</f>
        <v/>
      </c>
      <c r="D154" s="45" t="str">
        <f>IF(Kalkulation!B161=0,"",IF(A153="",IF(B152="",D152,B152),IF(B153="",D153,B153)))</f>
        <v>Process Development - Equipment and Testing Equipment - PrkzZm</v>
      </c>
      <c r="E154">
        <f t="shared" si="11"/>
        <v>6141</v>
      </c>
      <c r="G154" s="45" t="str">
        <f>IF(Kalkulation!B161=0,IF(A154="Epic",B154," "),Kalkulation!C161)</f>
        <v>Conception of equipment (e.g. milling plan and milling)</v>
      </c>
      <c r="H154" t="str">
        <f t="shared" si="8"/>
        <v xml:space="preserve"> </v>
      </c>
      <c r="I154" t="str">
        <f t="shared" si="9"/>
        <v>Normal</v>
      </c>
      <c r="J154">
        <f>IF(OR(A154="",A154="Epic"),"",Kalkulation!F161*60*60)</f>
        <v>0</v>
      </c>
      <c r="K154">
        <f t="shared" si="10"/>
        <v>0</v>
      </c>
      <c r="L154" t="str">
        <f>CONCATENATE(Kalkulation!$C$3,": ",Kalkulation!$C$2,)</f>
        <v>write your component number(only integer): Projekt</v>
      </c>
      <c r="M154" t="str">
        <f>IF(A154="Epic",IF(Kalkulation!F161=0,"x",""),IF(OR(J154=0,A154="",B154=0),"x",""))</f>
        <v>x</v>
      </c>
    </row>
    <row r="155" spans="1:13" ht="26.4">
      <c r="A155" t="str">
        <f>IF(OR(Kalkulation!C162="Service",Kalkulation!C162="Individual costs and external services"),"",IF(Kalkulation!B162=0,"Epic","Project-task"))</f>
        <v>Project-task</v>
      </c>
      <c r="B155" s="45" t="str">
        <f>IF(OR(Kalkulation!C162="Service",Kalkulation!C162="Individual costs and external services"),"",IF(Kalkulation!B162=0,Kalkulation!C162,""))</f>
        <v/>
      </c>
      <c r="C155" t="str">
        <f>IF(A155="","",IF(Kalkulation!B162=0,"ghx-label-1",""))</f>
        <v/>
      </c>
      <c r="D155" s="45" t="str">
        <f>IF(Kalkulation!B162=0,"",IF(A154="",IF(B153="",D153,B153),IF(B154="",D154,B154)))</f>
        <v>Process Development - Equipment and Testing Equipment - PrkzZm</v>
      </c>
      <c r="E155">
        <f t="shared" si="11"/>
        <v>6142</v>
      </c>
      <c r="G155" s="45" t="str">
        <f>IF(Kalkulation!B162=0,IF(A155="Epic",B155," "),Kalkulation!C162)</f>
        <v>Provision of operating resources (e.g. assembly aids)</v>
      </c>
      <c r="H155" t="str">
        <f t="shared" si="8"/>
        <v xml:space="preserve"> </v>
      </c>
      <c r="I155" t="str">
        <f t="shared" si="9"/>
        <v>Normal</v>
      </c>
      <c r="J155">
        <f>IF(OR(A155="",A155="Epic"),"",Kalkulation!F162*60*60)</f>
        <v>0</v>
      </c>
      <c r="K155">
        <f t="shared" si="10"/>
        <v>0</v>
      </c>
      <c r="L155" t="str">
        <f>CONCATENATE(Kalkulation!$C$3,": ",Kalkulation!$C$2,)</f>
        <v>write your component number(only integer): Projekt</v>
      </c>
      <c r="M155" t="str">
        <f>IF(A155="Epic",IF(Kalkulation!F162=0,"x",""),IF(OR(J155=0,A155="",B155=0),"x",""))</f>
        <v>x</v>
      </c>
    </row>
    <row r="156" spans="1:13" ht="26.4">
      <c r="A156" t="str">
        <f>IF(OR(Kalkulation!C163="Service",Kalkulation!C163="Individual costs and external services"),"",IF(Kalkulation!B163=0,"Epic","Project-task"))</f>
        <v>Project-task</v>
      </c>
      <c r="B156" s="45" t="str">
        <f>IF(OR(Kalkulation!C163="Service",Kalkulation!C163="Individual costs and external services"),"",IF(Kalkulation!B163=0,Kalkulation!C163,""))</f>
        <v/>
      </c>
      <c r="C156" t="str">
        <f>IF(A156="","",IF(Kalkulation!B163=0,"ghx-label-1",""))</f>
        <v/>
      </c>
      <c r="D156" s="45" t="str">
        <f>IF(Kalkulation!B163=0,"",IF(A155="",IF(B154="",D154,B154),IF(B155="",D155,B155)))</f>
        <v>Process Development - Equipment and Testing Equipment - PrkzZm</v>
      </c>
      <c r="E156">
        <f t="shared" si="11"/>
        <v>6143</v>
      </c>
      <c r="G156" s="45" t="str">
        <f>IF(Kalkulation!B163=0,IF(A156="Epic",B156," "),Kalkulation!C163)</f>
        <v>Creation of a 3D milling concept (Probe/Moving/Pressure Plate)</v>
      </c>
      <c r="H156" t="str">
        <f t="shared" si="8"/>
        <v xml:space="preserve"> </v>
      </c>
      <c r="I156" t="str">
        <f t="shared" si="9"/>
        <v>Normal</v>
      </c>
      <c r="J156">
        <f>IF(OR(A156="",A156="Epic"),"",Kalkulation!F163*60*60)</f>
        <v>0</v>
      </c>
      <c r="K156">
        <f t="shared" si="10"/>
        <v>0</v>
      </c>
      <c r="L156" t="str">
        <f>CONCATENATE(Kalkulation!$C$3,": ",Kalkulation!$C$2,)</f>
        <v>write your component number(only integer): Projekt</v>
      </c>
      <c r="M156" t="str">
        <f>IF(A156="Epic",IF(Kalkulation!F163=0,"x",""),IF(OR(J156=0,A156="",B156=0),"x",""))</f>
        <v>x</v>
      </c>
    </row>
    <row r="157" spans="1:13" ht="26.4">
      <c r="A157" t="str">
        <f>IF(OR(Kalkulation!C164="Service",Kalkulation!C164="Individual costs and external services"),"",IF(Kalkulation!B164=0,"Epic","Project-task"))</f>
        <v>Project-task</v>
      </c>
      <c r="B157" s="45" t="str">
        <f>IF(OR(Kalkulation!C164="Service",Kalkulation!C164="Individual costs and external services"),"",IF(Kalkulation!B164=0,Kalkulation!C164,""))</f>
        <v/>
      </c>
      <c r="C157" t="str">
        <f>IF(A157="","",IF(Kalkulation!B164=0,"ghx-label-1",""))</f>
        <v/>
      </c>
      <c r="D157" s="45" t="str">
        <f>IF(Kalkulation!B164=0,"",IF(A156="",IF(B155="",D155,B155),IF(B156="",D156,B156)))</f>
        <v>Process Development - Equipment and Testing Equipment - PrkzZm</v>
      </c>
      <c r="E157">
        <f t="shared" si="11"/>
        <v>6144</v>
      </c>
      <c r="G157" s="45">
        <f>IF(Kalkulation!B164=0,IF(A157="Epic",B157," "),Kalkulation!C164)</f>
        <v>0</v>
      </c>
      <c r="H157" t="str">
        <f t="shared" si="8"/>
        <v xml:space="preserve"> </v>
      </c>
      <c r="I157" t="str">
        <f t="shared" si="9"/>
        <v>Normal</v>
      </c>
      <c r="J157">
        <f>IF(OR(A157="",A157="Epic"),"",Kalkulation!F164*60*60)</f>
        <v>0</v>
      </c>
      <c r="K157">
        <f t="shared" si="10"/>
        <v>0</v>
      </c>
      <c r="L157" t="str">
        <f>CONCATENATE(Kalkulation!$C$3,": ",Kalkulation!$C$2,)</f>
        <v>write your component number(only integer): Projekt</v>
      </c>
      <c r="M157" t="str">
        <f>IF(A157="Epic",IF(Kalkulation!F164=0,"x",""),IF(OR(J157=0,A157="",B157=0),"x",""))</f>
        <v>x</v>
      </c>
    </row>
    <row r="158" spans="1:13">
      <c r="A158" t="str">
        <f>IF(OR(Kalkulation!C165="Service",Kalkulation!C165="Individual costs and external services"),"",IF(Kalkulation!B165=0,"Epic","Project-task"))</f>
        <v/>
      </c>
      <c r="B158" s="45" t="str">
        <f>IF(OR(Kalkulation!C165="Service",Kalkulation!C165="Individual costs and external services"),"",IF(Kalkulation!B165=0,Kalkulation!C165,""))</f>
        <v/>
      </c>
      <c r="C158" t="str">
        <f>IF(A158="","",IF(Kalkulation!B165=0,"ghx-label-1",""))</f>
        <v/>
      </c>
      <c r="D158" s="45" t="str">
        <f>IF(Kalkulation!B165=0,"",IF(A157="",IF(B156="",D156,B156),IF(B157="",D157,B157)))</f>
        <v/>
      </c>
      <c r="E158" t="str">
        <f t="shared" si="11"/>
        <v/>
      </c>
      <c r="G158" s="45" t="str">
        <f>IF(Kalkulation!B165=0,IF(A158="Epic",B158," "),Kalkulation!C165)</f>
        <v xml:space="preserve"> </v>
      </c>
      <c r="H158" t="str">
        <f t="shared" si="8"/>
        <v xml:space="preserve"> </v>
      </c>
      <c r="I158" t="str">
        <f t="shared" si="9"/>
        <v/>
      </c>
      <c r="J158" t="str">
        <f>IF(OR(A158="",A158="Epic"),"",Kalkulation!F165*60*60)</f>
        <v/>
      </c>
      <c r="K158" t="str">
        <f t="shared" si="10"/>
        <v/>
      </c>
      <c r="L158" t="str">
        <f>CONCATENATE(Kalkulation!$C$3,": ",Kalkulation!$C$2,)</f>
        <v>write your component number(only integer): Projekt</v>
      </c>
      <c r="M158" t="str">
        <f>IF(A158="Epic",IF(Kalkulation!F165=0,"x",""),IF(OR(J158=0,A158="",B158=0),"x",""))</f>
        <v>x</v>
      </c>
    </row>
    <row r="159" spans="1:13" ht="26.4">
      <c r="A159" t="str">
        <f>IF(OR(Kalkulation!C166="Service",Kalkulation!C166="Individual costs and external services"),"",IF(Kalkulation!B166=0,"Epic","Project-task"))</f>
        <v>Project-task</v>
      </c>
      <c r="B159" s="45" t="str">
        <f>IF(OR(Kalkulation!C166="Service",Kalkulation!C166="Individual costs and external services"),"",IF(Kalkulation!B166=0,Kalkulation!C166,""))</f>
        <v/>
      </c>
      <c r="C159" t="str">
        <f>IF(A159="","",IF(Kalkulation!B166=0,"ghx-label-1",""))</f>
        <v/>
      </c>
      <c r="D159" s="45" t="str">
        <f>IF(Kalkulation!B166=0,"",IF(A158="",IF(B157="",D157,B157),IF(B158="",D158,B158)))</f>
        <v>Process Development - Equipment and Testing Equipment - PrkzZm</v>
      </c>
      <c r="E159">
        <f t="shared" si="11"/>
        <v>6145</v>
      </c>
      <c r="G159" s="45" t="str">
        <f>IF(Kalkulation!B166=0,IF(A159="Epic",B159," "),Kalkulation!C166)</f>
        <v>Material Test Adapter</v>
      </c>
      <c r="H159" t="str">
        <f t="shared" si="8"/>
        <v xml:space="preserve"> </v>
      </c>
      <c r="I159" t="str">
        <f t="shared" si="9"/>
        <v>Normal</v>
      </c>
      <c r="J159">
        <f>IF(OR(A159="",A159="Epic"),"",Kalkulation!F166*60*60)</f>
        <v>0</v>
      </c>
      <c r="K159">
        <f t="shared" si="10"/>
        <v>0</v>
      </c>
      <c r="L159" t="str">
        <f>CONCATENATE(Kalkulation!$C$3,": ",Kalkulation!$C$2,)</f>
        <v>write your component number(only integer): Projekt</v>
      </c>
      <c r="M159" t="str">
        <f>IF(A159="Epic",IF(Kalkulation!F166=0,"x",""),IF(OR(J159=0,A159="",B159=0),"x",""))</f>
        <v>x</v>
      </c>
    </row>
    <row r="160" spans="1:13" ht="26.4">
      <c r="A160" t="str">
        <f>IF(OR(Kalkulation!C167="Service",Kalkulation!C167="Individual costs and external services"),"",IF(Kalkulation!B167=0,"Epic","Project-task"))</f>
        <v>Project-task</v>
      </c>
      <c r="B160" s="45" t="str">
        <f>IF(OR(Kalkulation!C167="Service",Kalkulation!C167="Individual costs and external services"),"",IF(Kalkulation!B167=0,Kalkulation!C167,""))</f>
        <v/>
      </c>
      <c r="C160" t="str">
        <f>IF(A160="","",IF(Kalkulation!B167=0,"ghx-label-1",""))</f>
        <v/>
      </c>
      <c r="D160" s="45" t="str">
        <f>IF(Kalkulation!B167=0,"",IF(A159="",IF(B158="",D158,B158),IF(B159="",D159,B159)))</f>
        <v>Process Development - Equipment and Testing Equipment - PrkzZm</v>
      </c>
      <c r="E160">
        <f t="shared" si="11"/>
        <v>6146</v>
      </c>
      <c r="G160" s="45" t="str">
        <f>IF(Kalkulation!B167=0,IF(A160="Epic",B160," "),Kalkulation!C167)</f>
        <v>Material Operating Equipment</v>
      </c>
      <c r="H160" t="str">
        <f t="shared" si="8"/>
        <v xml:space="preserve"> </v>
      </c>
      <c r="I160" t="str">
        <f t="shared" si="9"/>
        <v>Normal</v>
      </c>
      <c r="J160">
        <f>IF(OR(A160="",A160="Epic"),"",Kalkulation!F167*60*60)</f>
        <v>0</v>
      </c>
      <c r="K160">
        <f t="shared" si="10"/>
        <v>0</v>
      </c>
      <c r="L160" t="str">
        <f>CONCATENATE(Kalkulation!$C$3,": ",Kalkulation!$C$2,)</f>
        <v>write your component number(only integer): Projekt</v>
      </c>
      <c r="M160" t="str">
        <f>IF(A160="Epic",IF(Kalkulation!F167=0,"x",""),IF(OR(J160=0,A160="",B160=0),"x",""))</f>
        <v>x</v>
      </c>
    </row>
    <row r="161" spans="1:13" ht="26.4">
      <c r="A161" t="str">
        <f>IF(OR(Kalkulation!C168="Service",Kalkulation!C168="Individual costs and external services"),"",IF(Kalkulation!B168=0,"Epic","Project-task"))</f>
        <v>Project-task</v>
      </c>
      <c r="B161" s="45" t="str">
        <f>IF(OR(Kalkulation!C168="Service",Kalkulation!C168="Individual costs and external services"),"",IF(Kalkulation!B168=0,Kalkulation!C168,""))</f>
        <v/>
      </c>
      <c r="C161" t="str">
        <f>IF(A161="","",IF(Kalkulation!B168=0,"ghx-label-1",""))</f>
        <v/>
      </c>
      <c r="D161" s="45" t="str">
        <f>IF(Kalkulation!B168=0,"",IF(A160="",IF(B159="",D159,B159),IF(B160="",D160,B160)))</f>
        <v>Process Development - Equipment and Testing Equipment - PrkzZm</v>
      </c>
      <c r="E161">
        <f t="shared" si="11"/>
        <v>6147</v>
      </c>
      <c r="G161" s="45" t="str">
        <f>IF(Kalkulation!B168=0,IF(A161="Epic",B161," "),Kalkulation!C168)</f>
        <v>Additional measuring equipment required</v>
      </c>
      <c r="H161" t="str">
        <f t="shared" si="8"/>
        <v xml:space="preserve"> </v>
      </c>
      <c r="I161" t="str">
        <f t="shared" si="9"/>
        <v>Normal</v>
      </c>
      <c r="J161">
        <f>IF(OR(A161="",A161="Epic"),"",Kalkulation!F168*60*60)</f>
        <v>0</v>
      </c>
      <c r="K161">
        <f t="shared" si="10"/>
        <v>0</v>
      </c>
      <c r="L161" t="str">
        <f>CONCATENATE(Kalkulation!$C$3,": ",Kalkulation!$C$2,)</f>
        <v>write your component number(only integer): Projekt</v>
      </c>
      <c r="M161" t="str">
        <f>IF(A161="Epic",IF(Kalkulation!F168=0,"x",""),IF(OR(J161=0,A161="",B161=0),"x",""))</f>
        <v>x</v>
      </c>
    </row>
    <row r="162" spans="1:13" ht="26.4">
      <c r="A162" t="str">
        <f>IF(OR(Kalkulation!C169="Service",Kalkulation!C169="Individual costs and external services"),"",IF(Kalkulation!B169=0,"Epic","Project-task"))</f>
        <v>Project-task</v>
      </c>
      <c r="B162" s="45" t="str">
        <f>IF(OR(Kalkulation!C169="Service",Kalkulation!C169="Individual costs and external services"),"",IF(Kalkulation!B169=0,Kalkulation!C169,""))</f>
        <v/>
      </c>
      <c r="C162" t="str">
        <f>IF(A162="","",IF(Kalkulation!B169=0,"ghx-label-1",""))</f>
        <v/>
      </c>
      <c r="D162" s="45" t="str">
        <f>IF(Kalkulation!B169=0,"",IF(A161="",IF(B160="",D160,B160),IF(B161="",D161,B161)))</f>
        <v>Process Development - Equipment and Testing Equipment - PrkzZm</v>
      </c>
      <c r="E162">
        <f t="shared" si="11"/>
        <v>6148</v>
      </c>
      <c r="G162" s="45">
        <f>IF(Kalkulation!B169=0,IF(A162="Epic",B162," "),Kalkulation!C169)</f>
        <v>0</v>
      </c>
      <c r="H162" t="str">
        <f t="shared" si="8"/>
        <v xml:space="preserve"> </v>
      </c>
      <c r="I162" t="str">
        <f t="shared" si="9"/>
        <v>Normal</v>
      </c>
      <c r="J162">
        <f>IF(OR(A162="",A162="Epic"),"",Kalkulation!F169*60*60)</f>
        <v>0</v>
      </c>
      <c r="K162">
        <f t="shared" si="10"/>
        <v>0</v>
      </c>
      <c r="L162" t="str">
        <f>CONCATENATE(Kalkulation!$C$3,": ",Kalkulation!$C$2,)</f>
        <v>write your component number(only integer): Projekt</v>
      </c>
      <c r="M162" t="str">
        <f>IF(A162="Epic",IF(Kalkulation!F169=0,"x",""),IF(OR(J162=0,A162="",B162=0),"x",""))</f>
        <v>x</v>
      </c>
    </row>
    <row r="163" spans="1:13" ht="26.4">
      <c r="A163" t="str">
        <f>IF(OR(Kalkulation!C170="Service",Kalkulation!C170="Individual costs and external services"),"",IF(Kalkulation!B170=0,"Epic","Project-task"))</f>
        <v>Project-task</v>
      </c>
      <c r="B163" s="45" t="str">
        <f>IF(OR(Kalkulation!C170="Service",Kalkulation!C170="Individual costs and external services"),"",IF(Kalkulation!B170=0,Kalkulation!C170,""))</f>
        <v/>
      </c>
      <c r="C163" t="str">
        <f>IF(A163="","",IF(Kalkulation!B170=0,"ghx-label-1",""))</f>
        <v/>
      </c>
      <c r="D163" s="45" t="str">
        <f>IF(Kalkulation!B170=0,"",IF(A162="",IF(B161="",D161,B161),IF(B162="",D162,B162)))</f>
        <v>Process Development - Equipment and Testing Equipment - PrkzZm</v>
      </c>
      <c r="E163">
        <f t="shared" si="11"/>
        <v>6149</v>
      </c>
      <c r="G163" s="45">
        <f>IF(Kalkulation!B170=0,IF(A163="Epic",B163," "),Kalkulation!C170)</f>
        <v>0</v>
      </c>
      <c r="H163" t="str">
        <f t="shared" si="8"/>
        <v xml:space="preserve"> </v>
      </c>
      <c r="I163" t="str">
        <f t="shared" si="9"/>
        <v>Normal</v>
      </c>
      <c r="J163">
        <f>IF(OR(A163="",A163="Epic"),"",Kalkulation!F170*60*60)</f>
        <v>0</v>
      </c>
      <c r="K163">
        <f t="shared" si="10"/>
        <v>0</v>
      </c>
      <c r="L163" t="str">
        <f>CONCATENATE(Kalkulation!$C$3,": ",Kalkulation!$C$2,)</f>
        <v>write your component number(only integer): Projekt</v>
      </c>
      <c r="M163" t="str">
        <f>IF(A163="Epic",IF(Kalkulation!F170=0,"x",""),IF(OR(J163=0,A163="",B163=0),"x",""))</f>
        <v>x</v>
      </c>
    </row>
    <row r="164" spans="1:13" ht="26.4">
      <c r="A164" t="str">
        <f>IF(OR(Kalkulation!C171="Service",Kalkulation!C171="Individual costs and external services"),"",IF(Kalkulation!B171=0,"Epic","Project-task"))</f>
        <v>Project-task</v>
      </c>
      <c r="B164" s="45" t="str">
        <f>IF(OR(Kalkulation!C171="Service",Kalkulation!C171="Individual costs and external services"),"",IF(Kalkulation!B171=0,Kalkulation!C171,""))</f>
        <v/>
      </c>
      <c r="C164" t="str">
        <f>IF(A164="","",IF(Kalkulation!B171=0,"ghx-label-1",""))</f>
        <v/>
      </c>
      <c r="D164" s="45" t="str">
        <f>IF(Kalkulation!B171=0,"",IF(A163="",IF(B162="",D162,B162),IF(B163="",D163,B163)))</f>
        <v>Process Development - Equipment and Testing Equipment - PrkzZm</v>
      </c>
      <c r="E164">
        <f t="shared" si="11"/>
        <v>6150</v>
      </c>
      <c r="G164" s="45">
        <f>IF(Kalkulation!B171=0,IF(A164="Epic",B164," "),Kalkulation!C171)</f>
        <v>0</v>
      </c>
      <c r="H164" t="str">
        <f t="shared" si="8"/>
        <v xml:space="preserve"> </v>
      </c>
      <c r="I164" t="str">
        <f t="shared" si="9"/>
        <v>Normal</v>
      </c>
      <c r="J164">
        <f>IF(OR(A164="",A164="Epic"),"",Kalkulation!F171*60*60)</f>
        <v>0</v>
      </c>
      <c r="K164">
        <f t="shared" si="10"/>
        <v>0</v>
      </c>
      <c r="L164" t="str">
        <f>CONCATENATE(Kalkulation!$C$3,": ",Kalkulation!$C$2,)</f>
        <v>write your component number(only integer): Projekt</v>
      </c>
      <c r="M164" t="str">
        <f>IF(A164="Epic",IF(Kalkulation!F171=0,"x",""),IF(OR(J164=0,A164="",B164=0),"x",""))</f>
        <v>x</v>
      </c>
    </row>
    <row r="165" spans="1:13" ht="39.6">
      <c r="A165" t="str">
        <f>IF(OR(Kalkulation!C172="Service",Kalkulation!C172="Individual costs and external services"),"",IF(Kalkulation!B172=0,"Epic","Project-task"))</f>
        <v>Epic</v>
      </c>
      <c r="B165" s="45" t="str">
        <f>IF(OR(Kalkulation!C172="Service",Kalkulation!C172="Individual costs and external services"),"",IF(Kalkulation!B172=0,Kalkulation!C172,""))</f>
        <v>Process Development - Pre-Series/Pilot Series (C-Sample) - PrkzZm</v>
      </c>
      <c r="C165" t="str">
        <f>IF(A165="","",IF(Kalkulation!B172=0,"ghx-label-1",""))</f>
        <v>ghx-label-1</v>
      </c>
      <c r="D165" s="45" t="str">
        <f>IF(Kalkulation!B172=0,"",IF(A164="",IF(B163="",D163,B163),IF(B164="",D164,B164)))</f>
        <v/>
      </c>
      <c r="E165">
        <f t="shared" si="11"/>
        <v>6151</v>
      </c>
      <c r="G165" s="45" t="str">
        <f>IF(Kalkulation!B172=0,IF(A165="Epic",B165," "),Kalkulation!C172)</f>
        <v>Process Development - Pre-Series/Pilot Series (C-Sample) - PrkzZm</v>
      </c>
      <c r="H165" t="str">
        <f t="shared" si="8"/>
        <v>Process Development - Pre-Series/Pilot Series (C-Sample) - PrkzZm</v>
      </c>
      <c r="I165" t="str">
        <f t="shared" si="9"/>
        <v>Normal</v>
      </c>
      <c r="J165" t="str">
        <f>IF(OR(A165="",A165="Epic"),"",Kalkulation!F172*60*60)</f>
        <v/>
      </c>
      <c r="K165" t="str">
        <f t="shared" si="10"/>
        <v/>
      </c>
      <c r="L165" t="str">
        <f>CONCATENATE(Kalkulation!$C$3,": ",Kalkulation!$C$2,)</f>
        <v>write your component number(only integer): Projekt</v>
      </c>
      <c r="M165" t="str">
        <f>IF(A165="Epic",IF(Kalkulation!F172=0,"x",""),IF(OR(J165=0,A165="",B165=0),"x",""))</f>
        <v>x</v>
      </c>
    </row>
    <row r="166" spans="1:13">
      <c r="A166" t="str">
        <f>IF(OR(Kalkulation!C173="Service",Kalkulation!C173="Individual costs and external services"),"",IF(Kalkulation!B173=0,"Epic","Project-task"))</f>
        <v/>
      </c>
      <c r="B166" s="45" t="str">
        <f>IF(OR(Kalkulation!C173="Service",Kalkulation!C173="Individual costs and external services"),"",IF(Kalkulation!B173=0,Kalkulation!C173,""))</f>
        <v/>
      </c>
      <c r="C166" t="str">
        <f>IF(A166="","",IF(Kalkulation!B173=0,"ghx-label-1",""))</f>
        <v/>
      </c>
      <c r="D166" s="45" t="str">
        <f>IF(Kalkulation!B173=0,"",IF(A165="",IF(B164="",D164,B164),IF(B165="",D165,B165)))</f>
        <v/>
      </c>
      <c r="E166" t="str">
        <f t="shared" si="11"/>
        <v/>
      </c>
      <c r="G166" s="45" t="str">
        <f>IF(Kalkulation!B173=0,IF(A166="Epic",B166," "),Kalkulation!C173)</f>
        <v xml:space="preserve"> </v>
      </c>
      <c r="H166" t="str">
        <f t="shared" si="8"/>
        <v xml:space="preserve"> </v>
      </c>
      <c r="I166" t="str">
        <f t="shared" si="9"/>
        <v/>
      </c>
      <c r="J166" t="str">
        <f>IF(OR(A166="",A166="Epic"),"",Kalkulation!F173*60*60)</f>
        <v/>
      </c>
      <c r="K166" t="str">
        <f t="shared" si="10"/>
        <v/>
      </c>
      <c r="L166" t="str">
        <f>CONCATENATE(Kalkulation!$C$3,": ",Kalkulation!$C$2,)</f>
        <v>write your component number(only integer): Projekt</v>
      </c>
      <c r="M166" t="str">
        <f>IF(A166="Epic",IF(Kalkulation!F173=0,"x",""),IF(OR(J166=0,A166="",B166=0),"x",""))</f>
        <v>x</v>
      </c>
    </row>
    <row r="167" spans="1:13" ht="26.4">
      <c r="A167" t="str">
        <f>IF(OR(Kalkulation!C174="Service",Kalkulation!C174="Individual costs and external services"),"",IF(Kalkulation!B174=0,"Epic","Project-task"))</f>
        <v>Project-task</v>
      </c>
      <c r="B167" s="45" t="str">
        <f>IF(OR(Kalkulation!C174="Service",Kalkulation!C174="Individual costs and external services"),"",IF(Kalkulation!B174=0,Kalkulation!C174,""))</f>
        <v/>
      </c>
      <c r="C167" t="str">
        <f>IF(A167="","",IF(Kalkulation!B174=0,"ghx-label-1",""))</f>
        <v/>
      </c>
      <c r="D167" s="45" t="str">
        <f>IF(Kalkulation!B174=0,"",IF(A166="",IF(B165="",D165,B165),IF(B166="",D166,B166)))</f>
        <v>Process Development - Pre-Series/Pilot Series (C-Sample) - PrkzZm</v>
      </c>
      <c r="E167">
        <f t="shared" si="11"/>
        <v>6152</v>
      </c>
      <c r="G167" s="45" t="str">
        <f>IF(Kalkulation!B174=0,IF(A167="Epic",B167," "),Kalkulation!C174)</f>
        <v>Production Planning - Production Processes</v>
      </c>
      <c r="H167" t="str">
        <f t="shared" si="8"/>
        <v xml:space="preserve"> </v>
      </c>
      <c r="I167" t="str">
        <f t="shared" si="9"/>
        <v>Normal</v>
      </c>
      <c r="J167">
        <f>IF(OR(A167="",A167="Epic"),"",Kalkulation!F174*60*60)</f>
        <v>0</v>
      </c>
      <c r="K167">
        <f t="shared" si="10"/>
        <v>0</v>
      </c>
      <c r="L167" t="str">
        <f>CONCATENATE(Kalkulation!$C$3,": ",Kalkulation!$C$2,)</f>
        <v>write your component number(only integer): Projekt</v>
      </c>
      <c r="M167" t="str">
        <f>IF(A167="Epic",IF(Kalkulation!F174=0,"x",""),IF(OR(J167=0,A167="",B167=0),"x",""))</f>
        <v>x</v>
      </c>
    </row>
    <row r="168" spans="1:13" ht="26.4">
      <c r="A168" t="str">
        <f>IF(OR(Kalkulation!C175="Service",Kalkulation!C175="Individual costs and external services"),"",IF(Kalkulation!B175=0,"Epic","Project-task"))</f>
        <v>Project-task</v>
      </c>
      <c r="B168" s="45" t="str">
        <f>IF(OR(Kalkulation!C175="Service",Kalkulation!C175="Individual costs and external services"),"",IF(Kalkulation!B175=0,Kalkulation!C175,""))</f>
        <v/>
      </c>
      <c r="C168" t="str">
        <f>IF(A168="","",IF(Kalkulation!B175=0,"ghx-label-1",""))</f>
        <v/>
      </c>
      <c r="D168" s="45" t="str">
        <f>IF(Kalkulation!B175=0,"",IF(A167="",IF(B166="",D166,B166),IF(B167="",D167,B167)))</f>
        <v>Process Development - Pre-Series/Pilot Series (C-Sample) - PrkzZm</v>
      </c>
      <c r="E168">
        <f t="shared" si="11"/>
        <v>6153</v>
      </c>
      <c r="G168" s="45" t="str">
        <f>IF(Kalkulation!B175=0,IF(A168="Epic",B168," "),Kalkulation!C175)</f>
        <v>Production Preparation - Preparation of Development Data</v>
      </c>
      <c r="H168" t="str">
        <f t="shared" si="8"/>
        <v xml:space="preserve"> </v>
      </c>
      <c r="I168" t="str">
        <f t="shared" si="9"/>
        <v>Normal</v>
      </c>
      <c r="J168">
        <f>IF(OR(A168="",A168="Epic"),"",Kalkulation!F175*60*60)</f>
        <v>0</v>
      </c>
      <c r="K168">
        <f t="shared" si="10"/>
        <v>0</v>
      </c>
      <c r="L168" t="str">
        <f>CONCATENATE(Kalkulation!$C$3,": ",Kalkulation!$C$2,)</f>
        <v>write your component number(only integer): Projekt</v>
      </c>
      <c r="M168" t="str">
        <f>IF(A168="Epic",IF(Kalkulation!F175=0,"x",""),IF(OR(J168=0,A168="",B168=0),"x",""))</f>
        <v>x</v>
      </c>
    </row>
    <row r="169" spans="1:13" ht="26.4">
      <c r="A169" t="str">
        <f>IF(OR(Kalkulation!C176="Service",Kalkulation!C176="Individual costs and external services"),"",IF(Kalkulation!B176=0,"Epic","Project-task"))</f>
        <v>Project-task</v>
      </c>
      <c r="B169" s="45" t="str">
        <f>IF(OR(Kalkulation!C176="Service",Kalkulation!C176="Individual costs and external services"),"",IF(Kalkulation!B176=0,Kalkulation!C176,""))</f>
        <v/>
      </c>
      <c r="C169" t="str">
        <f>IF(A169="","",IF(Kalkulation!B176=0,"ghx-label-1",""))</f>
        <v/>
      </c>
      <c r="D169" s="45" t="str">
        <f>IF(Kalkulation!B176=0,"",IF(A168="",IF(B167="",D167,B167),IF(B168="",D168,B168)))</f>
        <v>Process Development - Pre-Series/Pilot Series (C-Sample) - PrkzZm</v>
      </c>
      <c r="E169">
        <f t="shared" si="11"/>
        <v>6154</v>
      </c>
      <c r="G169" s="45" t="str">
        <f>IF(Kalkulation!B176=0,IF(A169="Epic",B169," "),Kalkulation!C176)</f>
        <v>Production Preparation - Bill of Materials</v>
      </c>
      <c r="H169" t="str">
        <f t="shared" si="8"/>
        <v xml:space="preserve"> </v>
      </c>
      <c r="I169" t="str">
        <f t="shared" si="9"/>
        <v>Normal</v>
      </c>
      <c r="J169">
        <f>IF(OR(A169="",A169="Epic"),"",Kalkulation!F176*60*60)</f>
        <v>0</v>
      </c>
      <c r="K169">
        <f t="shared" si="10"/>
        <v>0</v>
      </c>
      <c r="L169" t="str">
        <f>CONCATENATE(Kalkulation!$C$3,": ",Kalkulation!$C$2,)</f>
        <v>write your component number(only integer): Projekt</v>
      </c>
      <c r="M169" t="str">
        <f>IF(A169="Epic",IF(Kalkulation!F176=0,"x",""),IF(OR(J169=0,A169="",B169=0),"x",""))</f>
        <v>x</v>
      </c>
    </row>
    <row r="170" spans="1:13" ht="26.4">
      <c r="A170" t="str">
        <f>IF(OR(Kalkulation!C177="Service",Kalkulation!C177="Individual costs and external services"),"",IF(Kalkulation!B177=0,"Epic","Project-task"))</f>
        <v>Project-task</v>
      </c>
      <c r="B170" s="45" t="str">
        <f>IF(OR(Kalkulation!C177="Service",Kalkulation!C177="Individual costs and external services"),"",IF(Kalkulation!B177=0,Kalkulation!C177,""))</f>
        <v/>
      </c>
      <c r="C170" t="str">
        <f>IF(A170="","",IF(Kalkulation!B177=0,"ghx-label-1",""))</f>
        <v/>
      </c>
      <c r="D170" s="45" t="str">
        <f>IF(Kalkulation!B177=0,"",IF(A169="",IF(B168="",D168,B168),IF(B169="",D169,B169)))</f>
        <v>Process Development - Pre-Series/Pilot Series (C-Sample) - PrkzZm</v>
      </c>
      <c r="E170">
        <f t="shared" si="11"/>
        <v>6155</v>
      </c>
      <c r="G170" s="45" t="str">
        <f>IF(Kalkulation!B177=0,IF(A170="Epic",B170," "),Kalkulation!C177)</f>
        <v>Production Preparation - Production Document</v>
      </c>
      <c r="H170" t="str">
        <f t="shared" si="8"/>
        <v xml:space="preserve"> </v>
      </c>
      <c r="I170" t="str">
        <f t="shared" si="9"/>
        <v>Normal</v>
      </c>
      <c r="J170">
        <f>IF(OR(A170="",A170="Epic"),"",Kalkulation!F177*60*60)</f>
        <v>0</v>
      </c>
      <c r="K170">
        <f t="shared" si="10"/>
        <v>0</v>
      </c>
      <c r="L170" t="str">
        <f>CONCATENATE(Kalkulation!$C$3,": ",Kalkulation!$C$2,)</f>
        <v>write your component number(only integer): Projekt</v>
      </c>
      <c r="M170" t="str">
        <f>IF(A170="Epic",IF(Kalkulation!F177=0,"x",""),IF(OR(J170=0,A170="",B170=0),"x",""))</f>
        <v>x</v>
      </c>
    </row>
    <row r="171" spans="1:13" ht="26.4">
      <c r="A171" t="str">
        <f>IF(OR(Kalkulation!C178="Service",Kalkulation!C178="Individual costs and external services"),"",IF(Kalkulation!B178=0,"Epic","Project-task"))</f>
        <v>Project-task</v>
      </c>
      <c r="B171" s="45" t="str">
        <f>IF(OR(Kalkulation!C178="Service",Kalkulation!C178="Individual costs and external services"),"",IF(Kalkulation!B178=0,Kalkulation!C178,""))</f>
        <v/>
      </c>
      <c r="C171" t="str">
        <f>IF(A171="","",IF(Kalkulation!B178=0,"ghx-label-1",""))</f>
        <v/>
      </c>
      <c r="D171" s="45" t="str">
        <f>IF(Kalkulation!B178=0,"",IF(A170="",IF(B169="",D169,B169),IF(B170="",D170,B170)))</f>
        <v>Process Development - Pre-Series/Pilot Series (C-Sample) - PrkzZm</v>
      </c>
      <c r="E171">
        <f t="shared" si="11"/>
        <v>6156</v>
      </c>
      <c r="G171" s="45" t="str">
        <f>IF(Kalkulation!B178=0,IF(A171="Epic",B171," "),Kalkulation!C178)</f>
        <v>Production Preparation - Conception of the soldering process / tests</v>
      </c>
      <c r="H171" t="str">
        <f t="shared" si="8"/>
        <v xml:space="preserve"> </v>
      </c>
      <c r="I171" t="str">
        <f t="shared" si="9"/>
        <v>Normal</v>
      </c>
      <c r="J171">
        <f>IF(OR(A171="",A171="Epic"),"",Kalkulation!F178*60*60)</f>
        <v>0</v>
      </c>
      <c r="K171">
        <f t="shared" si="10"/>
        <v>0</v>
      </c>
      <c r="L171" t="str">
        <f>CONCATENATE(Kalkulation!$C$3,": ",Kalkulation!$C$2,)</f>
        <v>write your component number(only integer): Projekt</v>
      </c>
      <c r="M171" t="str">
        <f>IF(A171="Epic",IF(Kalkulation!F178=0,"x",""),IF(OR(J171=0,A171="",B171=0),"x",""))</f>
        <v>x</v>
      </c>
    </row>
    <row r="172" spans="1:13" ht="26.4">
      <c r="A172" t="str">
        <f>IF(OR(Kalkulation!C179="Service",Kalkulation!C179="Individual costs and external services"),"",IF(Kalkulation!B179=0,"Epic","Project-task"))</f>
        <v>Project-task</v>
      </c>
      <c r="B172" s="45" t="str">
        <f>IF(OR(Kalkulation!C179="Service",Kalkulation!C179="Individual costs and external services"),"",IF(Kalkulation!B179=0,Kalkulation!C179,""))</f>
        <v/>
      </c>
      <c r="C172" t="str">
        <f>IF(A172="","",IF(Kalkulation!B179=0,"ghx-label-1",""))</f>
        <v/>
      </c>
      <c r="D172" s="45" t="str">
        <f>IF(Kalkulation!B179=0,"",IF(A171="",IF(B170="",D170,B170),IF(B171="",D171,B171)))</f>
        <v>Process Development - Pre-Series/Pilot Series (C-Sample) - PrkzZm</v>
      </c>
      <c r="E172">
        <f t="shared" si="11"/>
        <v>6157</v>
      </c>
      <c r="G172" s="45" t="str">
        <f>IF(Kalkulation!B179=0,IF(A172="Epic",B172," "),Kalkulation!C179)</f>
        <v>Pre-Series - Material Procurement</v>
      </c>
      <c r="H172" t="str">
        <f t="shared" si="8"/>
        <v xml:space="preserve"> </v>
      </c>
      <c r="I172" t="str">
        <f t="shared" si="9"/>
        <v>Normal</v>
      </c>
      <c r="J172">
        <f>IF(OR(A172="",A172="Epic"),"",Kalkulation!F179*60*60)</f>
        <v>0</v>
      </c>
      <c r="K172">
        <f t="shared" si="10"/>
        <v>0</v>
      </c>
      <c r="L172" t="str">
        <f>CONCATENATE(Kalkulation!$C$3,": ",Kalkulation!$C$2,)</f>
        <v>write your component number(only integer): Projekt</v>
      </c>
      <c r="M172" t="str">
        <f>IF(A172="Epic",IF(Kalkulation!F179=0,"x",""),IF(OR(J172=0,A172="",B172=0),"x",""))</f>
        <v>x</v>
      </c>
    </row>
    <row r="173" spans="1:13" ht="26.4">
      <c r="A173" t="str">
        <f>IF(OR(Kalkulation!C180="Service",Kalkulation!C180="Individual costs and external services"),"",IF(Kalkulation!B180=0,"Epic","Project-task"))</f>
        <v>Project-task</v>
      </c>
      <c r="B173" s="45" t="str">
        <f>IF(OR(Kalkulation!C180="Service",Kalkulation!C180="Individual costs and external services"),"",IF(Kalkulation!B180=0,Kalkulation!C180,""))</f>
        <v/>
      </c>
      <c r="C173" t="str">
        <f>IF(A173="","",IF(Kalkulation!B180=0,"ghx-label-1",""))</f>
        <v/>
      </c>
      <c r="D173" s="45" t="str">
        <f>IF(Kalkulation!B180=0,"",IF(A172="",IF(B171="",D171,B171),IF(B172="",D172,B172)))</f>
        <v>Process Development - Pre-Series/Pilot Series (C-Sample) - PrkzZm</v>
      </c>
      <c r="E173">
        <f t="shared" si="11"/>
        <v>6158</v>
      </c>
      <c r="G173" s="45" t="str">
        <f>IF(Kalkulation!B180=0,IF(A173="Epic",B173," "),Kalkulation!C180)</f>
        <v>Pre-Series - Team Qualification</v>
      </c>
      <c r="H173" t="str">
        <f t="shared" si="8"/>
        <v xml:space="preserve"> </v>
      </c>
      <c r="I173" t="str">
        <f t="shared" si="9"/>
        <v>Normal</v>
      </c>
      <c r="J173">
        <f>IF(OR(A173="",A173="Epic"),"",Kalkulation!F180*60*60)</f>
        <v>0</v>
      </c>
      <c r="K173">
        <f t="shared" si="10"/>
        <v>0</v>
      </c>
      <c r="L173" t="str">
        <f>CONCATENATE(Kalkulation!$C$3,": ",Kalkulation!$C$2,)</f>
        <v>write your component number(only integer): Projekt</v>
      </c>
      <c r="M173" t="str">
        <f>IF(A173="Epic",IF(Kalkulation!F180=0,"x",""),IF(OR(J173=0,A173="",B173=0),"x",""))</f>
        <v>x</v>
      </c>
    </row>
    <row r="174" spans="1:13" ht="26.4">
      <c r="A174" t="str">
        <f>IF(OR(Kalkulation!C181="Service",Kalkulation!C181="Individual costs and external services"),"",IF(Kalkulation!B181=0,"Epic","Project-task"))</f>
        <v>Project-task</v>
      </c>
      <c r="B174" s="45" t="str">
        <f>IF(OR(Kalkulation!C181="Service",Kalkulation!C181="Individual costs and external services"),"",IF(Kalkulation!B181=0,Kalkulation!C181,""))</f>
        <v/>
      </c>
      <c r="C174" t="str">
        <f>IF(A174="","",IF(Kalkulation!B181=0,"ghx-label-1",""))</f>
        <v/>
      </c>
      <c r="D174" s="45" t="str">
        <f>IF(Kalkulation!B181=0,"",IF(A173="",IF(B172="",D172,B172),IF(B173="",D173,B173)))</f>
        <v>Process Development - Pre-Series/Pilot Series (C-Sample) - PrkzZm</v>
      </c>
      <c r="E174">
        <f t="shared" si="11"/>
        <v>6159</v>
      </c>
      <c r="G174" s="45" t="str">
        <f>IF(Kalkulation!B181=0,IF(A174="Epic",B174," "),Kalkulation!C181)</f>
        <v>Pre-series - SMD placement program</v>
      </c>
      <c r="H174" t="str">
        <f t="shared" si="8"/>
        <v xml:space="preserve"> </v>
      </c>
      <c r="I174" t="str">
        <f t="shared" si="9"/>
        <v>Normal</v>
      </c>
      <c r="J174">
        <f>IF(OR(A174="",A174="Epic"),"",Kalkulation!F181*60*60)</f>
        <v>0</v>
      </c>
      <c r="K174">
        <f t="shared" si="10"/>
        <v>0</v>
      </c>
      <c r="L174" t="str">
        <f>CONCATENATE(Kalkulation!$C$3,": ",Kalkulation!$C$2,)</f>
        <v>write your component number(only integer): Projekt</v>
      </c>
      <c r="M174" t="str">
        <f>IF(A174="Epic",IF(Kalkulation!F181=0,"x",""),IF(OR(J174=0,A174="",B174=0),"x",""))</f>
        <v>x</v>
      </c>
    </row>
    <row r="175" spans="1:13" ht="26.4">
      <c r="A175" t="str">
        <f>IF(OR(Kalkulation!C182="Service",Kalkulation!C182="Individual costs and external services"),"",IF(Kalkulation!B182=0,"Epic","Project-task"))</f>
        <v>Project-task</v>
      </c>
      <c r="B175" s="45" t="str">
        <f>IF(OR(Kalkulation!C182="Service",Kalkulation!C182="Individual costs and external services"),"",IF(Kalkulation!B182=0,Kalkulation!C182,""))</f>
        <v/>
      </c>
      <c r="C175" t="str">
        <f>IF(A175="","",IF(Kalkulation!B182=0,"ghx-label-1",""))</f>
        <v/>
      </c>
      <c r="D175" s="45" t="str">
        <f>IF(Kalkulation!B182=0,"",IF(A174="",IF(B173="",D173,B173),IF(B174="",D174,B174)))</f>
        <v>Process Development - Pre-Series/Pilot Series (C-Sample) - PrkzZm</v>
      </c>
      <c r="E175">
        <f t="shared" si="11"/>
        <v>6160</v>
      </c>
      <c r="G175" s="45" t="str">
        <f>IF(Kalkulation!B182=0,IF(A175="Epic",B175," "),Kalkulation!C182)</f>
        <v>Pre-Series - AOI Programming</v>
      </c>
      <c r="H175" t="str">
        <f t="shared" si="8"/>
        <v xml:space="preserve"> </v>
      </c>
      <c r="I175" t="str">
        <f t="shared" si="9"/>
        <v>Normal</v>
      </c>
      <c r="J175">
        <f>IF(OR(A175="",A175="Epic"),"",Kalkulation!F182*60*60)</f>
        <v>0</v>
      </c>
      <c r="K175">
        <f t="shared" si="10"/>
        <v>0</v>
      </c>
      <c r="L175" t="str">
        <f>CONCATENATE(Kalkulation!$C$3,": ",Kalkulation!$C$2,)</f>
        <v>write your component number(only integer): Projekt</v>
      </c>
      <c r="M175" t="str">
        <f>IF(A175="Epic",IF(Kalkulation!F182=0,"x",""),IF(OR(J175=0,A175="",B175=0),"x",""))</f>
        <v>x</v>
      </c>
    </row>
    <row r="176" spans="1:13" ht="26.4">
      <c r="A176" t="str">
        <f>IF(OR(Kalkulation!C183="Service",Kalkulation!C183="Individual costs and external services"),"",IF(Kalkulation!B183=0,"Epic","Project-task"))</f>
        <v>Project-task</v>
      </c>
      <c r="B176" s="45" t="str">
        <f>IF(OR(Kalkulation!C183="Service",Kalkulation!C183="Individual costs and external services"),"",IF(Kalkulation!B183=0,Kalkulation!C183,""))</f>
        <v/>
      </c>
      <c r="C176" t="str">
        <f>IF(A176="","",IF(Kalkulation!B183=0,"ghx-label-1",""))</f>
        <v/>
      </c>
      <c r="D176" s="45" t="str">
        <f>IF(Kalkulation!B183=0,"",IF(A175="",IF(B174="",D174,B174),IF(B175="",D175,B175)))</f>
        <v>Process Development - Pre-Series/Pilot Series (C-Sample) - PrkzZm</v>
      </c>
      <c r="E176">
        <f t="shared" si="11"/>
        <v>6161</v>
      </c>
      <c r="G176" s="45" t="str">
        <f>IF(Kalkulation!B183=0,IF(A176="Epic",B176," "),Kalkulation!C183)</f>
        <v>Pre-series - accompaniment</v>
      </c>
      <c r="H176" t="str">
        <f t="shared" si="8"/>
        <v xml:space="preserve"> </v>
      </c>
      <c r="I176" t="str">
        <f t="shared" si="9"/>
        <v>Normal</v>
      </c>
      <c r="J176">
        <f>IF(OR(A176="",A176="Epic"),"",Kalkulation!F183*60*60)</f>
        <v>0</v>
      </c>
      <c r="K176">
        <f t="shared" si="10"/>
        <v>0</v>
      </c>
      <c r="L176" t="str">
        <f>CONCATENATE(Kalkulation!$C$3,": ",Kalkulation!$C$2,)</f>
        <v>write your component number(only integer): Projekt</v>
      </c>
      <c r="M176" t="str">
        <f>IF(A176="Epic",IF(Kalkulation!F183=0,"x",""),IF(OR(J176=0,A176="",B176=0),"x",""))</f>
        <v>x</v>
      </c>
    </row>
    <row r="177" spans="1:13" ht="26.4">
      <c r="A177" t="str">
        <f>IF(OR(Kalkulation!C184="Service",Kalkulation!C184="Individual costs and external services"),"",IF(Kalkulation!B184=0,"Epic","Project-task"))</f>
        <v>Project-task</v>
      </c>
      <c r="B177" s="45" t="str">
        <f>IF(OR(Kalkulation!C184="Service",Kalkulation!C184="Individual costs and external services"),"",IF(Kalkulation!B184=0,Kalkulation!C184,""))</f>
        <v/>
      </c>
      <c r="C177" t="str">
        <f>IF(A177="","",IF(Kalkulation!B184=0,"ghx-label-1",""))</f>
        <v/>
      </c>
      <c r="D177" s="45" t="str">
        <f>IF(Kalkulation!B184=0,"",IF(A176="",IF(B175="",D175,B175),IF(B176="",D176,B176)))</f>
        <v>Process Development - Pre-Series/Pilot Series (C-Sample) - PrkzZm</v>
      </c>
      <c r="E177">
        <f t="shared" si="11"/>
        <v>6162</v>
      </c>
      <c r="G177" s="45" t="str">
        <f>IF(Kalkulation!B184=0,IF(A177="Epic",B177," "),Kalkulation!C184)</f>
        <v>Pre-Series - Optimization</v>
      </c>
      <c r="H177" t="str">
        <f t="shared" si="8"/>
        <v xml:space="preserve"> </v>
      </c>
      <c r="I177" t="str">
        <f t="shared" si="9"/>
        <v>Normal</v>
      </c>
      <c r="J177">
        <f>IF(OR(A177="",A177="Epic"),"",Kalkulation!F184*60*60)</f>
        <v>0</v>
      </c>
      <c r="K177">
        <f t="shared" si="10"/>
        <v>0</v>
      </c>
      <c r="L177" t="str">
        <f>CONCATENATE(Kalkulation!$C$3,": ",Kalkulation!$C$2,)</f>
        <v>write your component number(only integer): Projekt</v>
      </c>
      <c r="M177" t="str">
        <f>IF(A177="Epic",IF(Kalkulation!F184=0,"x",""),IF(OR(J177=0,A177="",B177=0),"x",""))</f>
        <v>x</v>
      </c>
    </row>
    <row r="178" spans="1:13" ht="26.4">
      <c r="A178" t="str">
        <f>IF(OR(Kalkulation!C185="Service",Kalkulation!C185="Individual costs and external services"),"",IF(Kalkulation!B185=0,"Epic","Project-task"))</f>
        <v>Project-task</v>
      </c>
      <c r="B178" s="45" t="str">
        <f>IF(OR(Kalkulation!C185="Service",Kalkulation!C185="Individual costs and external services"),"",IF(Kalkulation!B185=0,Kalkulation!C185,""))</f>
        <v/>
      </c>
      <c r="C178" t="str">
        <f>IF(A178="","",IF(Kalkulation!B185=0,"ghx-label-1",""))</f>
        <v/>
      </c>
      <c r="D178" s="45" t="str">
        <f>IF(Kalkulation!B185=0,"",IF(A177="",IF(B176="",D176,B176),IF(B177="",D177,B177)))</f>
        <v>Process Development - Pre-Series/Pilot Series (C-Sample) - PrkzZm</v>
      </c>
      <c r="E178">
        <f t="shared" si="11"/>
        <v>6163</v>
      </c>
      <c r="G178" s="45" t="str">
        <f>IF(Kalkulation!B185=0,IF(A178="Epic",B178," "),Kalkulation!C185)</f>
        <v>Pre-Series - Reference Sample / Initial Sample + Report</v>
      </c>
      <c r="H178" t="str">
        <f t="shared" si="8"/>
        <v xml:space="preserve"> </v>
      </c>
      <c r="I178" t="str">
        <f t="shared" si="9"/>
        <v>Normal</v>
      </c>
      <c r="J178">
        <f>IF(OR(A178="",A178="Epic"),"",Kalkulation!F185*60*60)</f>
        <v>0</v>
      </c>
      <c r="K178">
        <f t="shared" si="10"/>
        <v>0</v>
      </c>
      <c r="L178" t="str">
        <f>CONCATENATE(Kalkulation!$C$3,": ",Kalkulation!$C$2,)</f>
        <v>write your component number(only integer): Projekt</v>
      </c>
      <c r="M178" t="str">
        <f>IF(A178="Epic",IF(Kalkulation!F185=0,"x",""),IF(OR(J178=0,A178="",B178=0),"x",""))</f>
        <v>x</v>
      </c>
    </row>
    <row r="179" spans="1:13" ht="26.4">
      <c r="A179" t="str">
        <f>IF(OR(Kalkulation!C186="Service",Kalkulation!C186="Individual costs and external services"),"",IF(Kalkulation!B186=0,"Epic","Project-task"))</f>
        <v>Project-task</v>
      </c>
      <c r="B179" s="45" t="str">
        <f>IF(OR(Kalkulation!C186="Service",Kalkulation!C186="Individual costs and external services"),"",IF(Kalkulation!B186=0,Kalkulation!C186,""))</f>
        <v/>
      </c>
      <c r="C179" t="str">
        <f>IF(A179="","",IF(Kalkulation!B186=0,"ghx-label-1",""))</f>
        <v/>
      </c>
      <c r="D179" s="45" t="str">
        <f>IF(Kalkulation!B186=0,"",IF(A178="",IF(B177="",D177,B177),IF(B178="",D178,B178)))</f>
        <v>Process Development - Pre-Series/Pilot Series (C-Sample) - PrkzZm</v>
      </c>
      <c r="E179">
        <f t="shared" si="11"/>
        <v>6164</v>
      </c>
      <c r="G179" s="45" t="str">
        <f>IF(Kalkulation!B186=0,IF(A179="Epic",B179," "),Kalkulation!C186)</f>
        <v>Pre-series - Initial sample inspection customer</v>
      </c>
      <c r="H179" t="str">
        <f t="shared" si="8"/>
        <v xml:space="preserve"> </v>
      </c>
      <c r="I179" t="str">
        <f t="shared" si="9"/>
        <v>Normal</v>
      </c>
      <c r="J179">
        <f>IF(OR(A179="",A179="Epic"),"",Kalkulation!F186*60*60)</f>
        <v>0</v>
      </c>
      <c r="K179">
        <f t="shared" si="10"/>
        <v>0</v>
      </c>
      <c r="L179" t="str">
        <f>CONCATENATE(Kalkulation!$C$3,": ",Kalkulation!$C$2,)</f>
        <v>write your component number(only integer): Projekt</v>
      </c>
      <c r="M179" t="str">
        <f>IF(A179="Epic",IF(Kalkulation!F186=0,"x",""),IF(OR(J179=0,A179="",B179=0),"x",""))</f>
        <v>x</v>
      </c>
    </row>
    <row r="180" spans="1:13" ht="26.4">
      <c r="A180" t="str">
        <f>IF(OR(Kalkulation!C187="Service",Kalkulation!C187="Individual costs and external services"),"",IF(Kalkulation!B187=0,"Epic","Project-task"))</f>
        <v>Project-task</v>
      </c>
      <c r="B180" s="45" t="str">
        <f>IF(OR(Kalkulation!C187="Service",Kalkulation!C187="Individual costs and external services"),"",IF(Kalkulation!B187=0,Kalkulation!C187,""))</f>
        <v/>
      </c>
      <c r="C180" t="str">
        <f>IF(A180="","",IF(Kalkulation!B187=0,"ghx-label-1",""))</f>
        <v/>
      </c>
      <c r="D180" s="45" t="str">
        <f>IF(Kalkulation!B187=0,"",IF(A179="",IF(B178="",D178,B178),IF(B179="",D179,B179)))</f>
        <v>Process Development - Pre-Series/Pilot Series (C-Sample) - PrkzZm</v>
      </c>
      <c r="E180">
        <f t="shared" si="11"/>
        <v>6165</v>
      </c>
      <c r="G180" s="45" t="str">
        <f>IF(Kalkulation!B187=0,IF(A180="Epic",B180," "),Kalkulation!C187)</f>
        <v>Pre-series - Finalization of product costing</v>
      </c>
      <c r="H180" t="str">
        <f t="shared" si="8"/>
        <v xml:space="preserve"> </v>
      </c>
      <c r="I180" t="str">
        <f t="shared" si="9"/>
        <v>Normal</v>
      </c>
      <c r="J180">
        <f>IF(OR(A180="",A180="Epic"),"",Kalkulation!F187*60*60)</f>
        <v>0</v>
      </c>
      <c r="K180">
        <f t="shared" si="10"/>
        <v>0</v>
      </c>
      <c r="L180" t="str">
        <f>CONCATENATE(Kalkulation!$C$3,": ",Kalkulation!$C$2,)</f>
        <v>write your component number(only integer): Projekt</v>
      </c>
      <c r="M180" t="str">
        <f>IF(A180="Epic",IF(Kalkulation!F187=0,"x",""),IF(OR(J180=0,A180="",B180=0),"x",""))</f>
        <v>x</v>
      </c>
    </row>
    <row r="181" spans="1:13">
      <c r="A181" t="str">
        <f>IF(OR(Kalkulation!C188="Service",Kalkulation!C188="Individual costs and external services"),"",IF(Kalkulation!B188=0,"Epic","Project-task"))</f>
        <v/>
      </c>
      <c r="B181" s="45" t="str">
        <f>IF(OR(Kalkulation!C188="Service",Kalkulation!C188="Individual costs and external services"),"",IF(Kalkulation!B188=0,Kalkulation!C188,""))</f>
        <v/>
      </c>
      <c r="C181" t="str">
        <f>IF(A181="","",IF(Kalkulation!B188=0,"ghx-label-1",""))</f>
        <v/>
      </c>
      <c r="D181" s="45" t="str">
        <f>IF(Kalkulation!B188=0,"",IF(A180="",IF(B179="",D179,B179),IF(B180="",D180,B180)))</f>
        <v/>
      </c>
      <c r="E181" t="str">
        <f t="shared" si="11"/>
        <v/>
      </c>
      <c r="G181" s="45" t="str">
        <f>IF(Kalkulation!B188=0,IF(A181="Epic",B181," "),Kalkulation!C188)</f>
        <v xml:space="preserve"> </v>
      </c>
      <c r="H181" t="str">
        <f t="shared" si="8"/>
        <v xml:space="preserve"> </v>
      </c>
      <c r="I181" t="str">
        <f t="shared" si="9"/>
        <v/>
      </c>
      <c r="J181" t="str">
        <f>IF(OR(A181="",A181="Epic"),"",Kalkulation!F188*60*60)</f>
        <v/>
      </c>
      <c r="K181" t="str">
        <f t="shared" si="10"/>
        <v/>
      </c>
      <c r="L181" t="str">
        <f>CONCATENATE(Kalkulation!$C$3,": ",Kalkulation!$C$2,)</f>
        <v>write your component number(only integer): Projekt</v>
      </c>
      <c r="M181" t="str">
        <f>IF(A181="Epic",IF(Kalkulation!F188=0,"x",""),IF(OR(J181=0,A181="",B181=0),"x",""))</f>
        <v>x</v>
      </c>
    </row>
    <row r="182" spans="1:13" ht="26.4">
      <c r="A182" t="str">
        <f>IF(OR(Kalkulation!C189="Service",Kalkulation!C189="Individual costs and external services"),"",IF(Kalkulation!B189=0,"Epic","Project-task"))</f>
        <v>Project-task</v>
      </c>
      <c r="B182" s="45" t="str">
        <f>IF(OR(Kalkulation!C189="Service",Kalkulation!C189="Individual costs and external services"),"",IF(Kalkulation!B189=0,Kalkulation!C189,""))</f>
        <v/>
      </c>
      <c r="C182" t="str">
        <f>IF(A182="","",IF(Kalkulation!B189=0,"ghx-label-1",""))</f>
        <v/>
      </c>
      <c r="D182" s="45" t="str">
        <f>IF(Kalkulation!B189=0,"",IF(A181="",IF(B180="",D180,B180),IF(B181="",D181,B181)))</f>
        <v>Process Development - Pre-Series/Pilot Series (C-Sample) - PrkzZm</v>
      </c>
      <c r="E182">
        <f t="shared" si="11"/>
        <v>6166</v>
      </c>
      <c r="G182" s="45" t="str">
        <f>IF(Kalkulation!B189=0,IF(A182="Epic",B182," "),Kalkulation!C189)</f>
        <v>Set-up costs for serial PCB</v>
      </c>
      <c r="H182" t="str">
        <f t="shared" si="8"/>
        <v xml:space="preserve"> </v>
      </c>
      <c r="I182" t="str">
        <f t="shared" si="9"/>
        <v>Normal</v>
      </c>
      <c r="J182">
        <f>IF(OR(A182="",A182="Epic"),"",Kalkulation!F189*60*60)</f>
        <v>0</v>
      </c>
      <c r="K182">
        <f t="shared" si="10"/>
        <v>0</v>
      </c>
      <c r="L182" t="str">
        <f>CONCATENATE(Kalkulation!$C$3,": ",Kalkulation!$C$2,)</f>
        <v>write your component number(only integer): Projekt</v>
      </c>
      <c r="M182" t="str">
        <f>IF(A182="Epic",IF(Kalkulation!F189=0,"x",""),IF(OR(J182=0,A182="",B182=0),"x",""))</f>
        <v>x</v>
      </c>
    </row>
    <row r="183" spans="1:13" ht="26.4">
      <c r="A183" t="str">
        <f>IF(OR(Kalkulation!C190="Service",Kalkulation!C190="Individual costs and external services"),"",IF(Kalkulation!B190=0,"Epic","Project-task"))</f>
        <v>Project-task</v>
      </c>
      <c r="B183" s="45" t="str">
        <f>IF(OR(Kalkulation!C190="Service",Kalkulation!C190="Individual costs and external services"),"",IF(Kalkulation!B190=0,Kalkulation!C190,""))</f>
        <v/>
      </c>
      <c r="C183" t="str">
        <f>IF(A183="","",IF(Kalkulation!B190=0,"ghx-label-1",""))</f>
        <v/>
      </c>
      <c r="D183" s="45" t="str">
        <f>IF(Kalkulation!B190=0,"",IF(A182="",IF(B181="",D181,B181),IF(B182="",D182,B182)))</f>
        <v>Process Development - Pre-Series/Pilot Series (C-Sample) - PrkzZm</v>
      </c>
      <c r="E183">
        <f t="shared" si="11"/>
        <v>6167</v>
      </c>
      <c r="G183" s="45" t="str">
        <f>IF(Kalkulation!B190=0,IF(A183="Epic",B183," "),Kalkulation!C190)</f>
        <v>Stencils</v>
      </c>
      <c r="H183" t="str">
        <f t="shared" si="8"/>
        <v xml:space="preserve"> </v>
      </c>
      <c r="I183" t="str">
        <f t="shared" si="9"/>
        <v>Normal</v>
      </c>
      <c r="J183">
        <f>IF(OR(A183="",A183="Epic"),"",Kalkulation!F190*60*60)</f>
        <v>0</v>
      </c>
      <c r="K183">
        <f t="shared" si="10"/>
        <v>0</v>
      </c>
      <c r="L183" t="str">
        <f>CONCATENATE(Kalkulation!$C$3,": ",Kalkulation!$C$2,)</f>
        <v>write your component number(only integer): Projekt</v>
      </c>
      <c r="M183" t="str">
        <f>IF(A183="Epic",IF(Kalkulation!F190=0,"x",""),IF(OR(J183=0,A183="",B183=0),"x",""))</f>
        <v>x</v>
      </c>
    </row>
    <row r="184" spans="1:13" ht="26.4">
      <c r="A184" t="str">
        <f>IF(OR(Kalkulation!C191="Service",Kalkulation!C191="Individual costs and external services"),"",IF(Kalkulation!B191=0,"Epic","Project-task"))</f>
        <v>Project-task</v>
      </c>
      <c r="B184" s="45" t="str">
        <f>IF(OR(Kalkulation!C191="Service",Kalkulation!C191="Individual costs and external services"),"",IF(Kalkulation!B191=0,Kalkulation!C191,""))</f>
        <v/>
      </c>
      <c r="C184" t="str">
        <f>IF(A184="","",IF(Kalkulation!B191=0,"ghx-label-1",""))</f>
        <v/>
      </c>
      <c r="D184" s="45" t="str">
        <f>IF(Kalkulation!B191=0,"",IF(A183="",IF(B182="",D182,B182),IF(B183="",D183,B183)))</f>
        <v>Process Development - Pre-Series/Pilot Series (C-Sample) - PrkzZm</v>
      </c>
      <c r="E184">
        <f t="shared" si="11"/>
        <v>6168</v>
      </c>
      <c r="G184" s="45">
        <f>IF(Kalkulation!B191=0,IF(A184="Epic",B184," "),Kalkulation!C191)</f>
        <v>0</v>
      </c>
      <c r="H184" t="str">
        <f t="shared" si="8"/>
        <v xml:space="preserve"> </v>
      </c>
      <c r="I184" t="str">
        <f t="shared" si="9"/>
        <v>Normal</v>
      </c>
      <c r="J184">
        <f>IF(OR(A184="",A184="Epic"),"",Kalkulation!F191*60*60)</f>
        <v>0</v>
      </c>
      <c r="K184">
        <f t="shared" si="10"/>
        <v>0</v>
      </c>
      <c r="L184" t="str">
        <f>CONCATENATE(Kalkulation!$C$3,": ",Kalkulation!$C$2,)</f>
        <v>write your component number(only integer): Projekt</v>
      </c>
      <c r="M184" t="str">
        <f>IF(A184="Epic",IF(Kalkulation!F191=0,"x",""),IF(OR(J184=0,A184="",B184=0),"x",""))</f>
        <v>x</v>
      </c>
    </row>
    <row r="185" spans="1:13" ht="26.4">
      <c r="A185" t="str">
        <f>IF(OR(Kalkulation!C192="Service",Kalkulation!C192="Individual costs and external services"),"",IF(Kalkulation!B192=0,"Epic","Project-task"))</f>
        <v>Project-task</v>
      </c>
      <c r="B185" s="45" t="str">
        <f>IF(OR(Kalkulation!C192="Service",Kalkulation!C192="Individual costs and external services"),"",IF(Kalkulation!B192=0,Kalkulation!C192,""))</f>
        <v/>
      </c>
      <c r="C185" t="str">
        <f>IF(A185="","",IF(Kalkulation!B192=0,"ghx-label-1",""))</f>
        <v/>
      </c>
      <c r="D185" s="45" t="str">
        <f>IF(Kalkulation!B192=0,"",IF(A184="",IF(B183="",D183,B183),IF(B184="",D184,B184)))</f>
        <v>Process Development - Pre-Series/Pilot Series (C-Sample) - PrkzZm</v>
      </c>
      <c r="E185">
        <f t="shared" si="11"/>
        <v>6169</v>
      </c>
      <c r="G185" s="45">
        <f>IF(Kalkulation!B192=0,IF(A185="Epic",B185," "),Kalkulation!C192)</f>
        <v>0</v>
      </c>
      <c r="H185" t="str">
        <f t="shared" si="8"/>
        <v xml:space="preserve"> </v>
      </c>
      <c r="I185" t="str">
        <f t="shared" si="9"/>
        <v>Normal</v>
      </c>
      <c r="J185">
        <f>IF(OR(A185="",A185="Epic"),"",Kalkulation!F192*60*60)</f>
        <v>0</v>
      </c>
      <c r="K185">
        <f t="shared" si="10"/>
        <v>0</v>
      </c>
      <c r="L185" t="str">
        <f>CONCATENATE(Kalkulation!$C$3,": ",Kalkulation!$C$2,)</f>
        <v>write your component number(only integer): Projekt</v>
      </c>
      <c r="M185" t="str">
        <f>IF(A185="Epic",IF(Kalkulation!F192=0,"x",""),IF(OR(J185=0,A185="",B185=0),"x",""))</f>
        <v>x</v>
      </c>
    </row>
    <row r="186" spans="1:13" ht="26.4">
      <c r="A186" t="str">
        <f>IF(OR(Kalkulation!C193="Service",Kalkulation!C193="Individual costs and external services"),"",IF(Kalkulation!B193=0,"Epic","Project-task"))</f>
        <v>Project-task</v>
      </c>
      <c r="B186" s="45" t="str">
        <f>IF(OR(Kalkulation!C193="Service",Kalkulation!C193="Individual costs and external services"),"",IF(Kalkulation!B193=0,Kalkulation!C193,""))</f>
        <v/>
      </c>
      <c r="C186" t="str">
        <f>IF(A186="","",IF(Kalkulation!B193=0,"ghx-label-1",""))</f>
        <v/>
      </c>
      <c r="D186" s="45" t="str">
        <f>IF(Kalkulation!B193=0,"",IF(A185="",IF(B184="",D184,B184),IF(B185="",D185,B185)))</f>
        <v>Process Development - Pre-Series/Pilot Series (C-Sample) - PrkzZm</v>
      </c>
      <c r="E186">
        <f t="shared" si="11"/>
        <v>6170</v>
      </c>
      <c r="G186" s="45">
        <f>IF(Kalkulation!B193=0,IF(A186="Epic",B186," "),Kalkulation!C193)</f>
        <v>0</v>
      </c>
      <c r="H186" t="str">
        <f t="shared" si="8"/>
        <v xml:space="preserve"> </v>
      </c>
      <c r="I186" t="str">
        <f t="shared" si="9"/>
        <v>Normal</v>
      </c>
      <c r="J186">
        <f>IF(OR(A186="",A186="Epic"),"",Kalkulation!F193*60*60)</f>
        <v>0</v>
      </c>
      <c r="K186">
        <f t="shared" si="10"/>
        <v>0</v>
      </c>
      <c r="L186" t="str">
        <f>CONCATENATE(Kalkulation!$C$3,": ",Kalkulation!$C$2,)</f>
        <v>write your component number(only integer): Projekt</v>
      </c>
      <c r="M186" t="str">
        <f>IF(A186="Epic",IF(Kalkulation!F193=0,"x",""),IF(OR(J186=0,A186="",B186=0),"x",""))</f>
        <v>x</v>
      </c>
    </row>
    <row r="187" spans="1:13" ht="26.4">
      <c r="A187" t="str">
        <f>IF(OR(Kalkulation!C194="Service",Kalkulation!C194="Individual costs and external services"),"",IF(Kalkulation!B194=0,"Epic","Project-task"))</f>
        <v>Project-task</v>
      </c>
      <c r="B187" s="45" t="str">
        <f>IF(OR(Kalkulation!C194="Service",Kalkulation!C194="Individual costs and external services"),"",IF(Kalkulation!B194=0,Kalkulation!C194,""))</f>
        <v/>
      </c>
      <c r="C187" t="str">
        <f>IF(A187="","",IF(Kalkulation!B194=0,"ghx-label-1",""))</f>
        <v/>
      </c>
      <c r="D187" s="45" t="str">
        <f>IF(Kalkulation!B194=0,"",IF(A186="",IF(B185="",D185,B185),IF(B186="",D186,B186)))</f>
        <v>Process Development - Pre-Series/Pilot Series (C-Sample) - PrkzZm</v>
      </c>
      <c r="E187">
        <f t="shared" si="11"/>
        <v>6171</v>
      </c>
      <c r="G187" s="45">
        <f>IF(Kalkulation!B194=0,IF(A187="Epic",B187," "),Kalkulation!C194)</f>
        <v>0</v>
      </c>
      <c r="H187" t="str">
        <f t="shared" si="8"/>
        <v xml:space="preserve"> </v>
      </c>
      <c r="I187" t="str">
        <f t="shared" si="9"/>
        <v>Normal</v>
      </c>
      <c r="J187">
        <f>IF(OR(A187="",A187="Epic"),"",Kalkulation!F194*60*60)</f>
        <v>0</v>
      </c>
      <c r="K187">
        <f t="shared" si="10"/>
        <v>0</v>
      </c>
      <c r="L187" t="str">
        <f>CONCATENATE(Kalkulation!$C$3,": ",Kalkulation!$C$2,)</f>
        <v>write your component number(only integer): Projekt</v>
      </c>
      <c r="M187" t="str">
        <f>IF(A187="Epic",IF(Kalkulation!F194=0,"x",""),IF(OR(J187=0,A187="",B187=0),"x",""))</f>
        <v>x</v>
      </c>
    </row>
    <row r="188" spans="1:13">
      <c r="A188" t="str">
        <f>IF(OR(Kalkulation!C195="Service",Kalkulation!C195="Individual costs and external services"),"",IF(Kalkulation!B195=0,"Epic","Project-task"))</f>
        <v>Epic</v>
      </c>
      <c r="B188" s="45" t="str">
        <f>IF(OR(Kalkulation!C195="Service",Kalkulation!C195="Individual costs and external services"),"",IF(Kalkulation!B195=0,Kalkulation!C195,""))</f>
        <v>Ramp Up (0-Series) - PrkzZm</v>
      </c>
      <c r="C188" t="str">
        <f>IF(A188="","",IF(Kalkulation!B195=0,"ghx-label-1",""))</f>
        <v>ghx-label-1</v>
      </c>
      <c r="D188" s="45" t="str">
        <f>IF(Kalkulation!B195=0,"",IF(A187="",IF(B186="",D186,B186),IF(B187="",D187,B187)))</f>
        <v/>
      </c>
      <c r="E188">
        <f t="shared" si="11"/>
        <v>6172</v>
      </c>
      <c r="G188" s="45" t="str">
        <f>IF(Kalkulation!B195=0,IF(A188="Epic",B188," "),Kalkulation!C195)</f>
        <v>Ramp Up (0-Series) - PrkzZm</v>
      </c>
      <c r="H188" t="str">
        <f t="shared" si="8"/>
        <v>Ramp Up (0-Series) - PrkzZm</v>
      </c>
      <c r="I188" t="str">
        <f t="shared" si="9"/>
        <v>Normal</v>
      </c>
      <c r="J188" t="str">
        <f>IF(OR(A188="",A188="Epic"),"",Kalkulation!F195*60*60)</f>
        <v/>
      </c>
      <c r="K188" t="str">
        <f t="shared" si="10"/>
        <v/>
      </c>
      <c r="L188" t="str">
        <f>CONCATENATE(Kalkulation!$C$3,": ",Kalkulation!$C$2,)</f>
        <v>write your component number(only integer): Projekt</v>
      </c>
      <c r="M188" t="str">
        <f>IF(A188="Epic",IF(Kalkulation!F195=0,"x",""),IF(OR(J188=0,A188="",B188=0),"x",""))</f>
        <v>x</v>
      </c>
    </row>
    <row r="189" spans="1:13">
      <c r="A189" t="str">
        <f>IF(OR(Kalkulation!C196="Service",Kalkulation!C196="Individual costs and external services"),"",IF(Kalkulation!B196=0,"Epic","Project-task"))</f>
        <v/>
      </c>
      <c r="B189" s="45" t="str">
        <f>IF(OR(Kalkulation!C196="Service",Kalkulation!C196="Individual costs and external services"),"",IF(Kalkulation!B196=0,Kalkulation!C196,""))</f>
        <v/>
      </c>
      <c r="C189" t="str">
        <f>IF(A189="","",IF(Kalkulation!B196=0,"ghx-label-1",""))</f>
        <v/>
      </c>
      <c r="D189" s="45" t="str">
        <f>IF(Kalkulation!B196=0,"",IF(A188="",IF(B187="",D187,B187),IF(B188="",D188,B188)))</f>
        <v/>
      </c>
      <c r="E189" t="str">
        <f t="shared" si="11"/>
        <v/>
      </c>
      <c r="G189" s="45" t="str">
        <f>IF(Kalkulation!B196=0,IF(A189="Epic",B189," "),Kalkulation!C196)</f>
        <v xml:space="preserve"> </v>
      </c>
      <c r="H189" t="str">
        <f t="shared" si="8"/>
        <v xml:space="preserve"> </v>
      </c>
      <c r="I189" t="str">
        <f t="shared" si="9"/>
        <v/>
      </c>
      <c r="J189" t="str">
        <f>IF(OR(A189="",A189="Epic"),"",Kalkulation!F196*60*60)</f>
        <v/>
      </c>
      <c r="K189" t="str">
        <f t="shared" si="10"/>
        <v/>
      </c>
      <c r="L189" t="str">
        <f>CONCATENATE(Kalkulation!$C$3,": ",Kalkulation!$C$2,)</f>
        <v>write your component number(only integer): Projekt</v>
      </c>
      <c r="M189" t="str">
        <f>IF(A189="Epic",IF(Kalkulation!F196=0,"x",""),IF(OR(J189=0,A189="",B189=0),"x",""))</f>
        <v>x</v>
      </c>
    </row>
    <row r="190" spans="1:13">
      <c r="A190" t="str">
        <f>IF(OR(Kalkulation!C197="Service",Kalkulation!C197="Individual costs and external services"),"",IF(Kalkulation!B197=0,"Epic","Project-task"))</f>
        <v>Project-task</v>
      </c>
      <c r="B190" s="45" t="str">
        <f>IF(OR(Kalkulation!C197="Service",Kalkulation!C197="Individual costs and external services"),"",IF(Kalkulation!B197=0,Kalkulation!C197,""))</f>
        <v/>
      </c>
      <c r="C190" t="str">
        <f>IF(A190="","",IF(Kalkulation!B197=0,"ghx-label-1",""))</f>
        <v/>
      </c>
      <c r="D190" s="45" t="str">
        <f>IF(Kalkulation!B197=0,"",IF(A189="",IF(B188="",D188,B188),IF(B189="",D189,B189)))</f>
        <v>Ramp Up (0-Series) - PrkzZm</v>
      </c>
      <c r="E190">
        <f t="shared" si="11"/>
        <v>6173</v>
      </c>
      <c r="G190" s="45" t="str">
        <f>IF(Kalkulation!B197=0,IF(A190="Epic",B190," "),Kalkulation!C197)</f>
        <v>0-Series - Procurement of cross-country skiers</v>
      </c>
      <c r="H190" t="str">
        <f t="shared" si="8"/>
        <v xml:space="preserve"> </v>
      </c>
      <c r="I190" t="str">
        <f t="shared" si="9"/>
        <v>Normal</v>
      </c>
      <c r="J190">
        <f>IF(OR(A190="",A190="Epic"),"",Kalkulation!F197*60*60)</f>
        <v>0</v>
      </c>
      <c r="K190">
        <f t="shared" si="10"/>
        <v>0</v>
      </c>
      <c r="L190" t="str">
        <f>CONCATENATE(Kalkulation!$C$3,": ",Kalkulation!$C$2,)</f>
        <v>write your component number(only integer): Projekt</v>
      </c>
      <c r="M190" t="str">
        <f>IF(A190="Epic",IF(Kalkulation!F197=0,"x",""),IF(OR(J190=0,A190="",B190=0),"x",""))</f>
        <v>x</v>
      </c>
    </row>
    <row r="191" spans="1:13">
      <c r="A191" t="str">
        <f>IF(OR(Kalkulation!C198="Service",Kalkulation!C198="Individual costs and external services"),"",IF(Kalkulation!B198=0,"Epic","Project-task"))</f>
        <v>Project-task</v>
      </c>
      <c r="B191" s="45" t="str">
        <f>IF(OR(Kalkulation!C198="Service",Kalkulation!C198="Individual costs and external services"),"",IF(Kalkulation!B198=0,Kalkulation!C198,""))</f>
        <v/>
      </c>
      <c r="C191" t="str">
        <f>IF(A191="","",IF(Kalkulation!B198=0,"ghx-label-1",""))</f>
        <v/>
      </c>
      <c r="D191" s="45" t="str">
        <f>IF(Kalkulation!B198=0,"",IF(A190="",IF(B189="",D189,B189),IF(B190="",D190,B190)))</f>
        <v>Ramp Up (0-Series) - PrkzZm</v>
      </c>
      <c r="E191">
        <f t="shared" si="11"/>
        <v>6174</v>
      </c>
      <c r="G191" s="45" t="str">
        <f>IF(Kalkulation!B198=0,IF(A191="Epic",B191," "),Kalkulation!C198)</f>
        <v>0 Series - Procurement of Pilot Series Material</v>
      </c>
      <c r="H191" t="str">
        <f t="shared" si="8"/>
        <v xml:space="preserve"> </v>
      </c>
      <c r="I191" t="str">
        <f t="shared" si="9"/>
        <v>Normal</v>
      </c>
      <c r="J191">
        <f>IF(OR(A191="",A191="Epic"),"",Kalkulation!F198*60*60)</f>
        <v>0</v>
      </c>
      <c r="K191">
        <f t="shared" si="10"/>
        <v>0</v>
      </c>
      <c r="L191" t="str">
        <f>CONCATENATE(Kalkulation!$C$3,": ",Kalkulation!$C$2,)</f>
        <v>write your component number(only integer): Projekt</v>
      </c>
      <c r="M191" t="str">
        <f>IF(A191="Epic",IF(Kalkulation!F198=0,"x",""),IF(OR(J191=0,A191="",B191=0),"x",""))</f>
        <v>x</v>
      </c>
    </row>
    <row r="192" spans="1:13">
      <c r="A192" t="str">
        <f>IF(OR(Kalkulation!C199="Service",Kalkulation!C199="Individual costs and external services"),"",IF(Kalkulation!B199=0,"Epic","Project-task"))</f>
        <v>Project-task</v>
      </c>
      <c r="B192" s="45" t="str">
        <f>IF(OR(Kalkulation!C199="Service",Kalkulation!C199="Individual costs and external services"),"",IF(Kalkulation!B199=0,Kalkulation!C199,""))</f>
        <v/>
      </c>
      <c r="C192" t="str">
        <f>IF(A192="","",IF(Kalkulation!B199=0,"ghx-label-1",""))</f>
        <v/>
      </c>
      <c r="D192" s="45" t="str">
        <f>IF(Kalkulation!B199=0,"",IF(A191="",IF(B190="",D190,B190),IF(B191="",D191,B191)))</f>
        <v>Ramp Up (0-Series) - PrkzZm</v>
      </c>
      <c r="E192">
        <f t="shared" si="11"/>
        <v>6175</v>
      </c>
      <c r="G192" s="45" t="str">
        <f>IF(Kalkulation!B199=0,IF(A192="Epic",B192," "),Kalkulation!C199)</f>
        <v>0 Series - Production 0 Series</v>
      </c>
      <c r="H192" t="str">
        <f t="shared" si="8"/>
        <v xml:space="preserve"> </v>
      </c>
      <c r="I192" t="str">
        <f t="shared" si="9"/>
        <v>Normal</v>
      </c>
      <c r="J192">
        <f>IF(OR(A192="",A192="Epic"),"",Kalkulation!F199*60*60)</f>
        <v>0</v>
      </c>
      <c r="K192">
        <f t="shared" si="10"/>
        <v>0</v>
      </c>
      <c r="L192" t="str">
        <f>CONCATENATE(Kalkulation!$C$3,": ",Kalkulation!$C$2,)</f>
        <v>write your component number(only integer): Projekt</v>
      </c>
      <c r="M192" t="str">
        <f>IF(A192="Epic",IF(Kalkulation!F199=0,"x",""),IF(OR(J192=0,A192="",B192=0),"x",""))</f>
        <v>x</v>
      </c>
    </row>
    <row r="193" spans="1:13">
      <c r="A193" t="str">
        <f>IF(OR(Kalkulation!C200="Service",Kalkulation!C200="Individual costs and external services"),"",IF(Kalkulation!B200=0,"Epic","Project-task"))</f>
        <v>Project-task</v>
      </c>
      <c r="B193" s="45" t="str">
        <f>IF(OR(Kalkulation!C200="Service",Kalkulation!C200="Individual costs and external services"),"",IF(Kalkulation!B200=0,Kalkulation!C200,""))</f>
        <v/>
      </c>
      <c r="C193" t="str">
        <f>IF(A193="","",IF(Kalkulation!B200=0,"ghx-label-1",""))</f>
        <v/>
      </c>
      <c r="D193" s="45" t="str">
        <f>IF(Kalkulation!B200=0,"",IF(A192="",IF(B191="",D191,B191),IF(B192="",D192,B192)))</f>
        <v>Ramp Up (0-Series) - PrkzZm</v>
      </c>
      <c r="E193">
        <f t="shared" si="11"/>
        <v>6176</v>
      </c>
      <c r="G193" s="45" t="str">
        <f>IF(Kalkulation!B200=0,IF(A193="Epic",B193," "),Kalkulation!C200)</f>
        <v>0-Series - Delivery 0-Series</v>
      </c>
      <c r="H193" t="str">
        <f t="shared" si="8"/>
        <v xml:space="preserve"> </v>
      </c>
      <c r="I193" t="str">
        <f t="shared" si="9"/>
        <v>Normal</v>
      </c>
      <c r="J193">
        <f>IF(OR(A193="",A193="Epic"),"",Kalkulation!F200*60*60)</f>
        <v>0</v>
      </c>
      <c r="K193">
        <f t="shared" si="10"/>
        <v>0</v>
      </c>
      <c r="L193" t="str">
        <f>CONCATENATE(Kalkulation!$C$3,": ",Kalkulation!$C$2,)</f>
        <v>write your component number(only integer): Projekt</v>
      </c>
      <c r="M193" t="str">
        <f>IF(A193="Epic",IF(Kalkulation!F200=0,"x",""),IF(OR(J193=0,A193="",B193=0),"x",""))</f>
        <v>x</v>
      </c>
    </row>
    <row r="194" spans="1:13">
      <c r="A194" t="str">
        <f>IF(OR(Kalkulation!C201="Service",Kalkulation!C201="Individual costs and external services"),"",IF(Kalkulation!B201=0,"Epic","Project-task"))</f>
        <v>Project-task</v>
      </c>
      <c r="B194" s="45" t="str">
        <f>IF(OR(Kalkulation!C201="Service",Kalkulation!C201="Individual costs and external services"),"",IF(Kalkulation!B201=0,Kalkulation!C201,""))</f>
        <v/>
      </c>
      <c r="C194" t="str">
        <f>IF(A194="","",IF(Kalkulation!B201=0,"ghx-label-1",""))</f>
        <v/>
      </c>
      <c r="D194" s="45" t="str">
        <f>IF(Kalkulation!B201=0,"",IF(A193="",IF(B192="",D192,B192),IF(B193="",D193,B193)))</f>
        <v>Ramp Up (0-Series) - PrkzZm</v>
      </c>
      <c r="E194">
        <f t="shared" si="11"/>
        <v>6177</v>
      </c>
      <c r="G194" s="45">
        <f>IF(Kalkulation!B201=0,IF(A194="Epic",B194," "),Kalkulation!C201)</f>
        <v>0</v>
      </c>
      <c r="H194" t="str">
        <f t="shared" si="8"/>
        <v xml:space="preserve"> </v>
      </c>
      <c r="I194" t="str">
        <f t="shared" si="9"/>
        <v>Normal</v>
      </c>
      <c r="J194">
        <f>IF(OR(A194="",A194="Epic"),"",Kalkulation!F201*60*60)</f>
        <v>0</v>
      </c>
      <c r="K194">
        <f t="shared" si="10"/>
        <v>0</v>
      </c>
      <c r="L194" t="str">
        <f>CONCATENATE(Kalkulation!$C$3,": ",Kalkulation!$C$2,)</f>
        <v>write your component number(only integer): Projekt</v>
      </c>
      <c r="M194" t="str">
        <f>IF(A194="Epic",IF(Kalkulation!F201=0,"x",""),IF(OR(J194=0,A194="",B194=0),"x",""))</f>
        <v>x</v>
      </c>
    </row>
    <row r="195" spans="1:13">
      <c r="A195" t="str">
        <f>IF(OR(Kalkulation!C202="Service",Kalkulation!C202="Individual costs and external services"),"",IF(Kalkulation!B202=0,"Epic","Project-task"))</f>
        <v>Project-task</v>
      </c>
      <c r="B195" s="45" t="str">
        <f>IF(OR(Kalkulation!C202="Service",Kalkulation!C202="Individual costs and external services"),"",IF(Kalkulation!B202=0,Kalkulation!C202,""))</f>
        <v/>
      </c>
      <c r="C195" t="str">
        <f>IF(A195="","",IF(Kalkulation!B202=0,"ghx-label-1",""))</f>
        <v/>
      </c>
      <c r="D195" s="45" t="str">
        <f>IF(Kalkulation!B202=0,"",IF(A194="",IF(B193="",D193,B193),IF(B194="",D194,B194)))</f>
        <v>Ramp Up (0-Series) - PrkzZm</v>
      </c>
      <c r="E195">
        <f t="shared" si="11"/>
        <v>6178</v>
      </c>
      <c r="G195" s="45">
        <f>IF(Kalkulation!B202=0,IF(A195="Epic",B195," "),Kalkulation!C202)</f>
        <v>0</v>
      </c>
      <c r="H195" t="str">
        <f t="shared" ref="H195:H196" si="12">IF(A195="Epic",B195," ")</f>
        <v xml:space="preserve"> </v>
      </c>
      <c r="I195" t="str">
        <f t="shared" ref="I195:I196" si="13">IF(A195="","","Normal")</f>
        <v>Normal</v>
      </c>
      <c r="J195">
        <f>IF(OR(A195="",A195="Epic"),"",Kalkulation!F202*60*60)</f>
        <v>0</v>
      </c>
      <c r="K195">
        <f t="shared" ref="K195:K197" si="14">J195</f>
        <v>0</v>
      </c>
      <c r="L195" t="str">
        <f>CONCATENATE(Kalkulation!$C$3,": ",Kalkulation!$C$2,)</f>
        <v>write your component number(only integer): Projekt</v>
      </c>
      <c r="M195" t="str">
        <f>IF(A195="Epic",IF(Kalkulation!F202=0,"x",""),IF(OR(J195=0,A195="",B195=0),"x",""))</f>
        <v>x</v>
      </c>
    </row>
    <row r="196" spans="1:13">
      <c r="A196" t="str">
        <f>IF(OR(Kalkulation!C203="Service",Kalkulation!C203="Individual costs and external services"),"",IF(Kalkulation!B203=0,"Epic","Project-task"))</f>
        <v>Project-task</v>
      </c>
      <c r="B196" s="45" t="str">
        <f>IF(OR(Kalkulation!C203="Service",Kalkulation!C203="Individual costs and external services"),"",IF(Kalkulation!B203=0,Kalkulation!C203,""))</f>
        <v/>
      </c>
      <c r="C196" t="str">
        <f>IF(A196="","",IF(Kalkulation!B203=0,"ghx-label-1",""))</f>
        <v/>
      </c>
      <c r="D196" s="45" t="str">
        <f>IF(Kalkulation!B203=0,"",IF(A195="",IF(B194="",D194,B194),IF(B195="",D195,B195)))</f>
        <v>Ramp Up (0-Series) - PrkzZm</v>
      </c>
      <c r="E196">
        <f t="shared" ref="E196" si="15">IF(A196="","",IF(E195="",E194+1,E195+1))</f>
        <v>6179</v>
      </c>
      <c r="G196" s="45">
        <f>IF(Kalkulation!B203=0,IF(A196="Epic",B196," "),Kalkulation!C203)</f>
        <v>0</v>
      </c>
      <c r="H196" t="str">
        <f t="shared" si="12"/>
        <v xml:space="preserve"> </v>
      </c>
      <c r="I196" t="str">
        <f t="shared" si="13"/>
        <v>Normal</v>
      </c>
      <c r="J196">
        <f>IF(OR(A196="",A196="Epic"),"",Kalkulation!F203*60*60)</f>
        <v>0</v>
      </c>
      <c r="K196">
        <f t="shared" si="14"/>
        <v>0</v>
      </c>
      <c r="L196" t="str">
        <f>CONCATENATE(Kalkulation!$C$3,": ",Kalkulation!$C$2,)</f>
        <v>write your component number(only integer): Projekt</v>
      </c>
      <c r="M196" t="str">
        <f>IF(A196="Epic",IF(Kalkulation!F203=0,"x",""),IF(OR(J196=0,A196="",B196=0),"x",""))</f>
        <v>x</v>
      </c>
    </row>
    <row r="197" spans="1:13">
      <c r="C197" t="str">
        <f>IF(A197="","",IF(Kalkulation!B204=0,"ghx-label-1",""))</f>
        <v/>
      </c>
      <c r="J197" t="str">
        <f>IF(OR(A197="",A197="Epic"),"",Kalkulation!F204*60*60)</f>
        <v/>
      </c>
      <c r="K197" t="str">
        <f t="shared" si="14"/>
        <v/>
      </c>
      <c r="M197" t="str">
        <f>IF(A197="Epic",IF(Kalkulation!F204=0,"x",""),IF(OR(J197=0,A197="",B197=0),"x",""))</f>
        <v>x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nvertToCSVAndUpload">
                <anchor moveWithCells="1" sizeWithCells="1">
                  <from>
                    <xdr:col>13</xdr:col>
                    <xdr:colOff>388620</xdr:colOff>
                    <xdr:row>3</xdr:row>
                    <xdr:rowOff>7620</xdr:rowOff>
                  </from>
                  <to>
                    <xdr:col>17</xdr:col>
                    <xdr:colOff>22860</xdr:colOff>
                    <xdr:row>17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4EB5-EFF0-4916-A14E-FED42873BEE7}">
  <sheetPr codeName="Tabelle6"/>
  <dimension ref="A1:L1"/>
  <sheetViews>
    <sheetView workbookViewId="0">
      <selection activeCell="C17" sqref="C17"/>
    </sheetView>
  </sheetViews>
  <sheetFormatPr defaultColWidth="11.44140625" defaultRowHeight="13.2"/>
  <cols>
    <col min="1" max="1" width="11" bestFit="1" customWidth="1"/>
    <col min="2" max="2" width="39.44140625" bestFit="1" customWidth="1"/>
    <col min="4" max="4" width="8.33203125" bestFit="1" customWidth="1"/>
    <col min="7" max="7" width="52" bestFit="1" customWidth="1"/>
    <col min="10" max="10" width="14.44140625" customWidth="1"/>
    <col min="11" max="11" width="12.88671875" bestFit="1" customWidth="1"/>
    <col min="12" max="12" width="25.44140625" customWidth="1"/>
  </cols>
  <sheetData>
    <row r="1" spans="1:12">
      <c r="A1" t="s">
        <v>154</v>
      </c>
      <c r="B1" t="s">
        <v>20</v>
      </c>
      <c r="C1" t="s">
        <v>21</v>
      </c>
      <c r="D1" t="s">
        <v>22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153</v>
      </c>
      <c r="K1" t="s">
        <v>152</v>
      </c>
      <c r="L1" t="s">
        <v>155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Kalkulation</vt:lpstr>
      <vt:lpstr>ProAlpha Export Data</vt:lpstr>
      <vt:lpstr>Jira Export</vt:lpstr>
      <vt:lpstr>Jira Export Data</vt:lpstr>
      <vt:lpstr>Kalkulation!Print_Area</vt:lpstr>
      <vt:lpstr>Kalkulation!Print_Titles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Sander, Markus</dc:creator>
  <cp:keywords/>
  <dc:description/>
  <cp:lastModifiedBy>Mahmudur Rahman</cp:lastModifiedBy>
  <cp:revision/>
  <dcterms:created xsi:type="dcterms:W3CDTF">2007-08-16T07:24:02Z</dcterms:created>
  <dcterms:modified xsi:type="dcterms:W3CDTF">2023-11-23T09:56:47Z</dcterms:modified>
  <cp:category/>
  <cp:contentStatus/>
</cp:coreProperties>
</file>